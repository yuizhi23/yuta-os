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Akun Spender by web" sheetId="1" r:id="rId5"/>
    <sheet state="visible" name="Ringkasan (acc spender by web)" sheetId="2" r:id="rId6"/>
    <sheet state="visible" name="Daftar Nama dan Status Pengumpu" sheetId="3" r:id="rId7"/>
  </sheets>
  <definedNames>
    <definedName hidden="1" localSheetId="0" name="_xlnm._FilterDatabase">'Daftar Akun Spender by web'!$A$1:$K$330</definedName>
  </definedNames>
  <calcPr/>
</workbook>
</file>

<file path=xl/sharedStrings.xml><?xml version="1.0" encoding="utf-8"?>
<sst xmlns="http://schemas.openxmlformats.org/spreadsheetml/2006/main" count="2086" uniqueCount="821">
  <si>
    <t>Ringkasan Progres</t>
  </si>
  <si>
    <t>No</t>
  </si>
  <si>
    <t>Total akun</t>
  </si>
  <si>
    <t>Nama</t>
  </si>
  <si>
    <t>Nama Akun</t>
  </si>
  <si>
    <t>Username</t>
  </si>
  <si>
    <t>Centang</t>
  </si>
  <si>
    <t>Hadiah</t>
  </si>
  <si>
    <t>Tier</t>
  </si>
  <si>
    <t>Koin Total</t>
  </si>
  <si>
    <t>Status</t>
  </si>
  <si>
    <t>Label Utama</t>
  </si>
  <si>
    <t>Label Lain / Keterangan</t>
  </si>
  <si>
    <t>Catatan</t>
  </si>
  <si>
    <t>Sudah Chat?</t>
  </si>
  <si>
    <t>Ringkasan</t>
  </si>
  <si>
    <t>Sudah Dibalas?</t>
  </si>
  <si>
    <t>RFX</t>
  </si>
  <si>
    <t>@rfx4981</t>
  </si>
  <si>
    <t>Whale</t>
  </si>
  <si>
    <t>Sudah chat</t>
  </si>
  <si>
    <t>Aktif di banyak room (+4)</t>
  </si>
  <si>
    <t>Peringkat teratas</t>
  </si>
  <si>
    <t>monarch77</t>
  </si>
  <si>
    <t>Sudah</t>
  </si>
  <si>
    <t>Belum chat</t>
  </si>
  <si>
    <t>Belum</t>
  </si>
  <si>
    <t>Noel Clyne</t>
  </si>
  <si>
    <t>@noel.clyne</t>
  </si>
  <si>
    <t>Sudah dibalas</t>
  </si>
  <si>
    <t>It's me Zayn</t>
  </si>
  <si>
    <t>@batangenyongaccountant</t>
  </si>
  <si>
    <t>Aktif di banyak room (+5)</t>
  </si>
  <si>
    <t>Tidak ada respon</t>
  </si>
  <si>
    <t>-_-</t>
  </si>
  <si>
    <t>@dontfindme7127</t>
  </si>
  <si>
    <t>HelmsDeep</t>
  </si>
  <si>
    <t>@helmsdeep5</t>
  </si>
  <si>
    <t>Aktif di banyak room (+3)</t>
  </si>
  <si>
    <t>Devil.Prada</t>
  </si>
  <si>
    <t>@devilredh</t>
  </si>
  <si>
    <t>MrSin</t>
  </si>
  <si>
    <t>@mrsin30</t>
  </si>
  <si>
    <t>High spender</t>
  </si>
  <si>
    <t>SKY</t>
  </si>
  <si>
    <t>@skycloud118</t>
  </si>
  <si>
    <t>Loyal room supporter (+3)</t>
  </si>
  <si>
    <t>jooooo</t>
  </si>
  <si>
    <t>@pjsc070304</t>
  </si>
  <si>
    <t>kebun air</t>
  </si>
  <si>
    <t>Supporter</t>
  </si>
  <si>
    <t>Rata-rata 5 gift per hari (+2)</t>
  </si>
  <si>
    <t>Alexander</t>
  </si>
  <si>
    <t>@a1_exander</t>
  </si>
  <si>
    <t>Rata-rata 22 gift per hari (+3)</t>
  </si>
  <si>
    <t>Zull</t>
  </si>
  <si>
    <t>@zull25563</t>
  </si>
  <si>
    <t>Aktif di banyak room (+6)</t>
  </si>
  <si>
    <t>Data dibaca manual dari 56 screenshot leaderboard (jam 17.35-18.56); akun yang muncul lebih dari sekali digabung per username, koin tertinggi dipakai.</t>
  </si>
  <si>
    <t>Kolom K-L (kuning) diisi manual: pilih dari dropdown. Default 'Belum'.</t>
  </si>
  <si>
    <t>Sebagian nama/tier terpotong di tepi screenshot; ditandai '…' atau di kolom Catatan.</t>
  </si>
  <si>
    <t>Angka koin dan hadiah berbeda antar screenshot karena diambil di waktu/halaman berbeda; cek kolom Catatan.</t>
  </si>
  <si>
    <r>
      <rPr>
        <rFont val="Noto Sans CJK SC"/>
        <color theme="1"/>
        <sz val="10.0"/>
      </rPr>
      <t xml:space="preserve">狮子 </t>
    </r>
    <r>
      <rPr>
        <rFont val="Arial"/>
        <color theme="1"/>
        <sz val="10.0"/>
      </rPr>
      <t>(◝ᴗ◜)</t>
    </r>
  </si>
  <si>
    <t>hanssel</t>
  </si>
  <si>
    <t>@ecova2026</t>
  </si>
  <si>
    <t>Total</t>
  </si>
  <si>
    <t>Mr.Arman</t>
  </si>
  <si>
    <t>@mr.arman336</t>
  </si>
  <si>
    <t>Sudden gift terakhir: 15.000 coin (+2)</t>
  </si>
  <si>
    <t>Lonegon</t>
  </si>
  <si>
    <t>@lonegon010926</t>
  </si>
  <si>
    <t>kambing terbang</t>
  </si>
  <si>
    <t>otro</t>
  </si>
  <si>
    <t>@otro7615</t>
  </si>
  <si>
    <t>Progres</t>
  </si>
  <si>
    <t>Rin</t>
  </si>
  <si>
    <t>@rinrinrin073</t>
  </si>
  <si>
    <t>Red Area</t>
  </si>
  <si>
    <t>@redarea01</t>
  </si>
  <si>
    <t>Abdul</t>
  </si>
  <si>
    <t>@abdulwahab_136</t>
  </si>
  <si>
    <t>Johazé</t>
  </si>
  <si>
    <t>@johairinsyah_</t>
  </si>
  <si>
    <t>~</t>
  </si>
  <si>
    <t>@bekel_30</t>
  </si>
  <si>
    <t>Loyal room supporter (+4)</t>
  </si>
  <si>
    <t>Rumi Moy</t>
  </si>
  <si>
    <t>@rumikun96</t>
  </si>
  <si>
    <t>dewolves</t>
  </si>
  <si>
    <t>Rein</t>
  </si>
  <si>
    <t>@asperdawn</t>
  </si>
  <si>
    <t>bang aji</t>
  </si>
  <si>
    <t>A.W</t>
  </si>
  <si>
    <t>@nata.lim01</t>
  </si>
  <si>
    <t>Klik kotak di kolom C untuk centang (Sudah)</t>
  </si>
  <si>
    <t>liyann</t>
  </si>
  <si>
    <t>@liiyann04</t>
  </si>
  <si>
    <t>luis</t>
  </si>
  <si>
    <t>virus</t>
  </si>
  <si>
    <t>@excelcaw</t>
  </si>
  <si>
    <t>Peringkat 1 halaman 1</t>
  </si>
  <si>
    <t>zeroaxel</t>
  </si>
  <si>
    <r>
      <rPr>
        <rFont val="Arial"/>
        <color theme="1"/>
        <sz val="10.0"/>
      </rPr>
      <t xml:space="preserve">•KETUA• </t>
    </r>
    <r>
      <rPr>
        <rFont val="Noto Sans CJK SC"/>
        <color theme="1"/>
        <sz val="10.0"/>
      </rPr>
      <t>林</t>
    </r>
    <r>
      <rPr>
        <rFont val="Arial"/>
        <color theme="1"/>
        <sz val="10.0"/>
      </rPr>
      <t>Sen</t>
    </r>
  </si>
  <si>
    <t>@kapan.aku.benar</t>
  </si>
  <si>
    <t>nobody</t>
  </si>
  <si>
    <t>⅄X</t>
  </si>
  <si>
    <t>@yxlolll</t>
  </si>
  <si>
    <t>dibi</t>
  </si>
  <si>
    <t>(nama kosong)</t>
  </si>
  <si>
    <t>@bossman23000</t>
  </si>
  <si>
    <t>gowther</t>
  </si>
  <si>
    <t>JM'77</t>
  </si>
  <si>
    <t>@bukitberbunga77</t>
  </si>
  <si>
    <t>jepang</t>
  </si>
  <si>
    <t>nitrocrew00</t>
  </si>
  <si>
    <t>@nitrocrew00</t>
  </si>
  <si>
    <t>Loyal room supporter (+2)</t>
  </si>
  <si>
    <t>ozan</t>
  </si>
  <si>
    <t>yuki</t>
  </si>
  <si>
    <t>@user73087249</t>
  </si>
  <si>
    <t>han</t>
  </si>
  <si>
    <t>Erlang Tan</t>
  </si>
  <si>
    <t>@dakartto</t>
  </si>
  <si>
    <t>axheno</t>
  </si>
  <si>
    <t>iblis</t>
  </si>
  <si>
    <t>Teteh Cengeng</t>
  </si>
  <si>
    <t>@momymonster24</t>
  </si>
  <si>
    <t>Rata-rata 35 gift per hari (+3)</t>
  </si>
  <si>
    <t>kimchi</t>
  </si>
  <si>
    <t>PapaLoneWolf(VE…</t>
  </si>
  <si>
    <t>@lonewol695</t>
  </si>
  <si>
    <t>Rata-rata 29 gift per hari (+3)</t>
  </si>
  <si>
    <t>edhy</t>
  </si>
  <si>
    <t>♏"ŔɛMĪZŦA=›ß♡ŔD…</t>
  </si>
  <si>
    <t>@joe_remizta</t>
  </si>
  <si>
    <t>jakew</t>
  </si>
  <si>
    <t>Pirouette21</t>
  </si>
  <si>
    <t>aru</t>
  </si>
  <si>
    <t>@juste_v5</t>
  </si>
  <si>
    <t>henky</t>
  </si>
  <si>
    <t>WAX</t>
  </si>
  <si>
    <t>@wax67753</t>
  </si>
  <si>
    <t>vyuon</t>
  </si>
  <si>
    <t>Lucy</t>
  </si>
  <si>
    <t>@najlaaimi_</t>
  </si>
  <si>
    <t>NT01~EdgarDesH</t>
  </si>
  <si>
    <t>iqbal</t>
  </si>
  <si>
    <t>@edgardes</t>
  </si>
  <si>
    <t>anubis</t>
  </si>
  <si>
    <t>@anubis4967</t>
  </si>
  <si>
    <t>luis akun kedua</t>
  </si>
  <si>
    <t>Ryan</t>
  </si>
  <si>
    <t>@ryaann114</t>
  </si>
  <si>
    <t>firman</t>
  </si>
  <si>
    <t>Autopilot Karim</t>
  </si>
  <si>
    <t>@karimautopilot</t>
  </si>
  <si>
    <t>yipp</t>
  </si>
  <si>
    <t>Cahya Adhiyaksa</t>
  </si>
  <si>
    <t>@cahyaadhiyaksaa</t>
  </si>
  <si>
    <t>mr simanjuntak</t>
  </si>
  <si>
    <t>HANS</t>
  </si>
  <si>
    <t>@hancuks.15</t>
  </si>
  <si>
    <t>krazly</t>
  </si>
  <si>
    <t>Elizabeth Bernadette</t>
  </si>
  <si>
    <t>@mecha_201220</t>
  </si>
  <si>
    <t>yeka</t>
  </si>
  <si>
    <t>Kakashi_805</t>
  </si>
  <si>
    <t>@subiewagon805</t>
  </si>
  <si>
    <t>Just_a_Gent</t>
  </si>
  <si>
    <t>@masked_gentleman</t>
  </si>
  <si>
    <t>Rata-rata 12 gift per hari (+2)</t>
  </si>
  <si>
    <t>Astroboii24</t>
  </si>
  <si>
    <t>@aztro_boii</t>
  </si>
  <si>
    <t>alpin</t>
  </si>
  <si>
    <t>Sudden gift terakhir: 8.000 coin (+1)</t>
  </si>
  <si>
    <t>Rev~and 10</t>
  </si>
  <si>
    <t>@revvand10</t>
  </si>
  <si>
    <t>NOVA_MILITARY</t>
  </si>
  <si>
    <t>GhostAccess</t>
  </si>
  <si>
    <t>@ghostyaccess</t>
  </si>
  <si>
    <t>Bob's 4lyfe</t>
  </si>
  <si>
    <t>uje_lee</t>
  </si>
  <si>
    <t>@ujelee1803</t>
  </si>
  <si>
    <t>luislunatico1989</t>
  </si>
  <si>
    <t>4% 👻</t>
  </si>
  <si>
    <t>@soulless__4</t>
  </si>
  <si>
    <t>Aktif pukul 20:00-23:00 (+4)</t>
  </si>
  <si>
    <t>rapin</t>
  </si>
  <si>
    <t>Thé Şčőřpìô</t>
  </si>
  <si>
    <t>@hendri_yung</t>
  </si>
  <si>
    <t>Sering kirim gift kecil (+4)</t>
  </si>
  <si>
    <t>love</t>
  </si>
  <si>
    <t>kecebong.</t>
  </si>
  <si>
    <t>@kecebong..hanyut</t>
  </si>
  <si>
    <t>peanut✰</t>
  </si>
  <si>
    <t>?</t>
  </si>
  <si>
    <t>@_a_nobodyhere</t>
  </si>
  <si>
    <t>officeboy12</t>
  </si>
  <si>
    <t>Juliaana04</t>
  </si>
  <si>
    <t>@ness_21.0</t>
  </si>
  <si>
    <t>hantu yang terlupakan</t>
  </si>
  <si>
    <t>Sasin</t>
  </si>
  <si>
    <t>@sasinsoul</t>
  </si>
  <si>
    <t>فارز</t>
  </si>
  <si>
    <t>Kongo</t>
  </si>
  <si>
    <t>@kingkongo55</t>
  </si>
  <si>
    <t>pencurihatii</t>
  </si>
  <si>
    <t>@penjagahati_25</t>
  </si>
  <si>
    <t>2012🌺</t>
  </si>
  <si>
    <t>Mami Khezia</t>
  </si>
  <si>
    <t>@chikalie28</t>
  </si>
  <si>
    <t>jeff7Master</t>
  </si>
  <si>
    <t>ZACKMUSIC</t>
  </si>
  <si>
    <t>@zackmusicoffical</t>
  </si>
  <si>
    <t>Loyal room supporter (+5)</t>
  </si>
  <si>
    <t>hoshi</t>
  </si>
  <si>
    <t>itsmethayanan</t>
  </si>
  <si>
    <t>@itsmethayanan</t>
  </si>
  <si>
    <t>Rata-rata 20 gift per hari (+2)</t>
  </si>
  <si>
    <t>b 🦉</t>
  </si>
  <si>
    <t>Just_flo</t>
  </si>
  <si>
    <t>@just_the_flo</t>
  </si>
  <si>
    <t>Tolak_miskin</t>
  </si>
  <si>
    <t>dipa sagara</t>
  </si>
  <si>
    <t>@dipa.sagaraw</t>
  </si>
  <si>
    <t>Hector Bori Martinez</t>
  </si>
  <si>
    <t>@hectorborimartinez</t>
  </si>
  <si>
    <t>Rata-rata 18 gift per hari (+3)</t>
  </si>
  <si>
    <t>SandiLan</t>
  </si>
  <si>
    <t>ことら</t>
  </si>
  <si>
    <t>@kuzirasann777</t>
  </si>
  <si>
    <t>Sering kirim gift kecil (+5)</t>
  </si>
  <si>
    <t>Adrian</t>
  </si>
  <si>
    <t>mutanunivers</t>
  </si>
  <si>
    <t>@mutanunivers</t>
  </si>
  <si>
    <t>Halaman 3/87 (peringkat 51-75)</t>
  </si>
  <si>
    <t>Youngsons</t>
  </si>
  <si>
    <t>@youngsons</t>
  </si>
  <si>
    <t>Halaman 3/87</t>
  </si>
  <si>
    <t>Americano.</t>
  </si>
  <si>
    <t>@hawe260604</t>
  </si>
  <si>
    <t>Hitori Justfriend</t>
  </si>
  <si>
    <t>Rata-rata 54 gift per hari (+3)</t>
  </si>
  <si>
    <t>Figment of your Rage Bait…</t>
  </si>
  <si>
    <t>@figmentofyourragebaiter</t>
  </si>
  <si>
    <t>resa</t>
  </si>
  <si>
    <t>littelpizza</t>
  </si>
  <si>
    <t>@littelpizza</t>
  </si>
  <si>
    <t>$#;(💫</t>
  </si>
  <si>
    <t>For you</t>
  </si>
  <si>
    <t>@for.you.233</t>
  </si>
  <si>
    <t>Rata-rata 23 gift per hari (+3)</t>
  </si>
  <si>
    <t>syaaaaa</t>
  </si>
  <si>
    <t>Allen</t>
  </si>
  <si>
    <t>@all.en4u</t>
  </si>
  <si>
    <t>dimassukambg</t>
  </si>
  <si>
    <t>Koko ku</t>
  </si>
  <si>
    <t>@koko.ku7</t>
  </si>
  <si>
    <t>Muncul di 2 screenshot; nilai lain: 39.178 koin (gbr 25)</t>
  </si>
  <si>
    <t>i 🍒</t>
  </si>
  <si>
    <t>Apanyak</t>
  </si>
  <si>
    <t>@the_night_skies</t>
  </si>
  <si>
    <t>rasita</t>
  </si>
  <si>
    <t>Alice</t>
  </si>
  <si>
    <t>@aliceee_1224</t>
  </si>
  <si>
    <t>jopipi</t>
  </si>
  <si>
    <t>Auda</t>
  </si>
  <si>
    <t>@auda.del</t>
  </si>
  <si>
    <t>. (titik)</t>
  </si>
  <si>
    <t>@24p4a167u5l90st4i7183f06</t>
  </si>
  <si>
    <t>Formula 1 Frankie</t>
  </si>
  <si>
    <t>@aishahmygirlfriend</t>
  </si>
  <si>
    <t>Rurouni Kenshin</t>
  </si>
  <si>
    <t>@davidknight187</t>
  </si>
  <si>
    <t>Ary Yoseph</t>
  </si>
  <si>
    <t>@ary_yoseph21</t>
  </si>
  <si>
    <t>✰⊥NAJACHONON Yaf✰ (teks terbalik)</t>
  </si>
  <si>
    <t>@xjay602</t>
  </si>
  <si>
    <t>ISeeeeeYou</t>
  </si>
  <si>
    <t>@i_s_y__</t>
  </si>
  <si>
    <t>Mega cristiani Telaumban…</t>
  </si>
  <si>
    <t>@christin_tel</t>
  </si>
  <si>
    <t>Kevin</t>
  </si>
  <si>
    <t>@kevxf_97</t>
  </si>
  <si>
    <t>Sudden gift terakhir: 1.088 coin (+2)</t>
  </si>
  <si>
    <t>bunga</t>
  </si>
  <si>
    <t>@bungaaa.harum</t>
  </si>
  <si>
    <t>Rata-rata 109 gift per hari (+2)</t>
  </si>
  <si>
    <t>CUTIE</t>
  </si>
  <si>
    <t>@hudacutiepie</t>
  </si>
  <si>
    <t>bois don kerai</t>
  </si>
  <si>
    <t>@dingdildong</t>
  </si>
  <si>
    <t>Jdogg</t>
  </si>
  <si>
    <t>@jdogg2282</t>
  </si>
  <si>
    <t>Sudden gift terakhir: 500 coin (+1)</t>
  </si>
  <si>
    <t>DrSnoopy</t>
  </si>
  <si>
    <t>@drsnoopycl</t>
  </si>
  <si>
    <t>King Thunder</t>
  </si>
  <si>
    <t>@fino88425</t>
  </si>
  <si>
    <t>无常</t>
  </si>
  <si>
    <t>@munafik_500</t>
  </si>
  <si>
    <t>행복용</t>
  </si>
  <si>
    <t>@user2598861379673</t>
  </si>
  <si>
    <t>Rata-rata 24 gift per hari (+3)</t>
  </si>
  <si>
    <t>Đakumatā • Raz…</t>
  </si>
  <si>
    <t>@dakumata1</t>
  </si>
  <si>
    <t>Muncul di 2 screenshot; nilai lain: 54.932 koin (gbr 20)</t>
  </si>
  <si>
    <t>KHY BLAZER</t>
  </si>
  <si>
    <t>@muhdnizamfernandez</t>
  </si>
  <si>
    <t>Halaman 4/87 (peringkat 76-100 dari 2172)</t>
  </si>
  <si>
    <t>GuckNicht</t>
  </si>
  <si>
    <t>@stranger_xyzz</t>
  </si>
  <si>
    <t>Wak Meng</t>
  </si>
  <si>
    <t>@wakmeng5</t>
  </si>
  <si>
    <t>AMEMIYA</t>
  </si>
  <si>
    <t>@amemiya888</t>
  </si>
  <si>
    <t>Superman</t>
  </si>
  <si>
    <t>@shins_superman_dustin</t>
  </si>
  <si>
    <t>Mas BH</t>
  </si>
  <si>
    <t>@bryanharlie</t>
  </si>
  <si>
    <t>Sering kirim gift kecil (+6)</t>
  </si>
  <si>
    <t>YAHH</t>
  </si>
  <si>
    <t>@yahh6712</t>
  </si>
  <si>
    <t>Luisceline maharaní</t>
  </si>
  <si>
    <t>@luis36angel</t>
  </si>
  <si>
    <t>lyby_</t>
  </si>
  <si>
    <t>@lyby_4</t>
  </si>
  <si>
    <t>Tanjirodes</t>
  </si>
  <si>
    <t>@tanjirodes5</t>
  </si>
  <si>
    <t>Ghost</t>
  </si>
  <si>
    <t>@ghst.bstr</t>
  </si>
  <si>
    <t>Leo_7SS</t>
  </si>
  <si>
    <t>@leo_7ss</t>
  </si>
  <si>
    <t>@dicky_hsrc</t>
  </si>
  <si>
    <t>Thaaa</t>
  </si>
  <si>
    <t>@tha.93</t>
  </si>
  <si>
    <t>Chandddd</t>
  </si>
  <si>
    <t>@cuma.berchandra_</t>
  </si>
  <si>
    <t>HymJ.</t>
  </si>
  <si>
    <t>@hymj90</t>
  </si>
  <si>
    <t>Muncul di 2 screenshot; nilai lain: 42.684 koin (gbr 43)</t>
  </si>
  <si>
    <t>°FYKACHUCHU-TIME…</t>
  </si>
  <si>
    <t>@chuchu7724</t>
  </si>
  <si>
    <t>ANJANI</t>
  </si>
  <si>
    <t>@anjani8949</t>
  </si>
  <si>
    <t>Amirul Aiman</t>
  </si>
  <si>
    <t>@aimanidgafyi</t>
  </si>
  <si>
    <t>@poweranger0301</t>
  </si>
  <si>
    <t>Kẻ nổi loạn</t>
  </si>
  <si>
    <t>@rebel381129</t>
  </si>
  <si>
    <t>Sudden gift terakhir: 500 coin (+2)</t>
  </si>
  <si>
    <t>CAPYBARA</t>
  </si>
  <si>
    <t>@octopuseven1</t>
  </si>
  <si>
    <t>smile clown</t>
  </si>
  <si>
    <t>@kentzzz175</t>
  </si>
  <si>
    <t>Muncul di 2 screenshot; nilai lain: 43.376 koin (gbr 43)</t>
  </si>
  <si>
    <t>xeducatorx</t>
  </si>
  <si>
    <t>@xeducatorx</t>
  </si>
  <si>
    <t>Rata-rata 358 gift per hari (+3)</t>
  </si>
  <si>
    <t>David core</t>
  </si>
  <si>
    <t>@davidbrass1122</t>
  </si>
  <si>
    <t>TowNGo Towing Service B…</t>
  </si>
  <si>
    <t>@towngo_towingservicebali</t>
  </si>
  <si>
    <t>Nezinomas</t>
  </si>
  <si>
    <t>@nezinomas2591</t>
  </si>
  <si>
    <t>Fuego</t>
  </si>
  <si>
    <t>@divumetrudistance</t>
  </si>
  <si>
    <t>gemoy</t>
  </si>
  <si>
    <t>@gemoywww.com</t>
  </si>
  <si>
    <t>Richard</t>
  </si>
  <si>
    <t>@richardsabahan2</t>
  </si>
  <si>
    <t>mar_lona</t>
  </si>
  <si>
    <t>@mar_lona</t>
  </si>
  <si>
    <t>TheGrimReaper</t>
  </si>
  <si>
    <t>@grimreaper16111</t>
  </si>
  <si>
    <t>Rata-rata 26 gift per hari (+3)</t>
  </si>
  <si>
    <t>SleepEatSnorlax</t>
  </si>
  <si>
    <t>@sleepeatsnorlax</t>
  </si>
  <si>
    <t>Anna</t>
  </si>
  <si>
    <t>@anna.demetriou49</t>
  </si>
  <si>
    <t>Sudden gift terakhir: 1.000 coin (+1)</t>
  </si>
  <si>
    <t>99</t>
  </si>
  <si>
    <t>@imami687</t>
  </si>
  <si>
    <t>Baut Cacing</t>
  </si>
  <si>
    <t>@bein419</t>
  </si>
  <si>
    <t>Kara Kay</t>
  </si>
  <si>
    <t>@junkisjam04</t>
  </si>
  <si>
    <t>jazzcoloured</t>
  </si>
  <si>
    <t>@jazzcoloured</t>
  </si>
  <si>
    <t>Aktif pukul 20:00-23:00 (+3)</t>
  </si>
  <si>
    <t>Nacho_12r</t>
  </si>
  <si>
    <t>@nachio_12r</t>
  </si>
  <si>
    <t>sEcRet sAnta</t>
  </si>
  <si>
    <t>@santaclaus565</t>
  </si>
  <si>
    <t>Stefan Barth (Team Tsch…</t>
  </si>
  <si>
    <t>@stefanbarth</t>
  </si>
  <si>
    <t>Muncul di 2 screenshot; nilai lain: 41.189 koin (gbr 25)</t>
  </si>
  <si>
    <t>Britani</t>
  </si>
  <si>
    <t>@bbbjjjooorrrnnn</t>
  </si>
  <si>
    <t>Rata-rata 126 gift per hari</t>
  </si>
  <si>
    <t>sooxutee22</t>
  </si>
  <si>
    <t>@sooxutee22</t>
  </si>
  <si>
    <t>fernandotreaad</t>
  </si>
  <si>
    <t>@fernandotreaad</t>
  </si>
  <si>
    <t>Escanor</t>
  </si>
  <si>
    <t>@denjacko</t>
  </si>
  <si>
    <t>Muncul di 2 screenshot; nilai lain: 40.359 koin (gbr 25)</t>
  </si>
  <si>
    <t>Zackkyy</t>
  </si>
  <si>
    <t>@zackkyy97</t>
  </si>
  <si>
    <t>Falzone</t>
  </si>
  <si>
    <t>@falzone9922</t>
  </si>
  <si>
    <t>hunter83</t>
  </si>
  <si>
    <t>@hunter021283</t>
  </si>
  <si>
    <t>Muncul di 2 screenshot; nilai lain: 38.355 koin (gbr 38)</t>
  </si>
  <si>
    <t>Nivlem</t>
  </si>
  <si>
    <t>@nivlem1307</t>
  </si>
  <si>
    <t>Fábi</t>
  </si>
  <si>
    <t>@mbosse36</t>
  </si>
  <si>
    <t>Myoui Chika</t>
  </si>
  <si>
    <t>@myouichika</t>
  </si>
  <si>
    <r>
      <rPr>
        <rFont val="Noto Sans CJK SC"/>
        <color theme="1"/>
        <sz val="10.0"/>
      </rPr>
      <t>ジェフ</t>
    </r>
    <r>
      <rPr>
        <rFont val="Arial"/>
        <color theme="1"/>
        <sz val="10.0"/>
      </rPr>
      <t>b</t>
    </r>
  </si>
  <si>
    <t>@jeffb_01</t>
  </si>
  <si>
    <t>Mas Rangga</t>
  </si>
  <si>
    <t>@1603irwa</t>
  </si>
  <si>
    <t>suzan</t>
  </si>
  <si>
    <t>@sue_1006</t>
  </si>
  <si>
    <t>TombowCL</t>
  </si>
  <si>
    <t>@tombowcl</t>
  </si>
  <si>
    <t>NVDIRU</t>
  </si>
  <si>
    <t>@nvdiru</t>
  </si>
  <si>
    <t>Muncul di 2 screenshot; nilai lain: 38.247 koin (gbr 38)</t>
  </si>
  <si>
    <r>
      <rPr>
        <rFont val="Arial"/>
        <color theme="1"/>
        <sz val="10.0"/>
      </rPr>
      <t xml:space="preserve">Yannnnn </t>
    </r>
    <r>
      <rPr>
        <rFont val="Noto Sans CJK SC"/>
        <color theme="1"/>
        <sz val="10.0"/>
      </rPr>
      <t>燕</t>
    </r>
  </si>
  <si>
    <t>@cyan9919</t>
  </si>
  <si>
    <t>Hyuniaa</t>
  </si>
  <si>
    <t>@lminehyn</t>
  </si>
  <si>
    <t>Kfccustomer</t>
  </si>
  <si>
    <t>@kfccustomerrr</t>
  </si>
  <si>
    <t>Depung</t>
  </si>
  <si>
    <t>@itspeedeepee</t>
  </si>
  <si>
    <t>Ghost PDR</t>
  </si>
  <si>
    <t>@ghostpaintlessdentrepair</t>
  </si>
  <si>
    <t>Xdit</t>
  </si>
  <si>
    <t>@ditslwzav45</t>
  </si>
  <si>
    <t>Caeluzzz</t>
  </si>
  <si>
    <t>@caeluzzz</t>
  </si>
  <si>
    <t>Rata-rata 55 gift per hari (+3)</t>
  </si>
  <si>
    <t>Hino faisal, S.Ds</t>
  </si>
  <si>
    <t>@7u5t1c</t>
  </si>
  <si>
    <t>Naomi</t>
  </si>
  <si>
    <t>@naomi_sinc</t>
  </si>
  <si>
    <t>Tempeste</t>
  </si>
  <si>
    <t>@tempestebridger</t>
  </si>
  <si>
    <t>Daftar 'Semua pengirim dikenal' (2199) | Muncul di 2 screenshot; nilai lain: 21.450 koin (gbr 56)</t>
  </si>
  <si>
    <t>Pebyynca</t>
  </si>
  <si>
    <t>@pebyyy_05</t>
  </si>
  <si>
    <t>Mr.YAMADA</t>
  </si>
  <si>
    <t>@misteryamadaaa</t>
  </si>
  <si>
    <t>DADDY SHARK69</t>
  </si>
  <si>
    <t>@daddy_shark69</t>
  </si>
  <si>
    <t>尺りひズ</t>
  </si>
  <si>
    <t>@naga_hitamx</t>
  </si>
  <si>
    <t>Rata-rata 39 gift per hari (+3)</t>
  </si>
  <si>
    <t>justC.Ody</t>
  </si>
  <si>
    <t>@codywhite09</t>
  </si>
  <si>
    <t>I give up</t>
  </si>
  <si>
    <t>@skybule0424</t>
  </si>
  <si>
    <t>Muncul di 2 screenshot; nilai lain: 34.546 koin (gbr 38)</t>
  </si>
  <si>
    <t>Capybara</t>
  </si>
  <si>
    <t>@andi.amri94</t>
  </si>
  <si>
    <t>Sheluvpill</t>
  </si>
  <si>
    <t>@uknowho20</t>
  </si>
  <si>
    <t>Fadhil Hamid</t>
  </si>
  <si>
    <t>@fadhilhamid27</t>
  </si>
  <si>
    <t>DANQL</t>
  </si>
  <si>
    <t>@danqll</t>
  </si>
  <si>
    <t>dawson</t>
  </si>
  <si>
    <t>@dawson_833</t>
  </si>
  <si>
    <t>☆</t>
  </si>
  <si>
    <t>@td28th</t>
  </si>
  <si>
    <t>TheKingMa</t>
  </si>
  <si>
    <t>@thekingoff60</t>
  </si>
  <si>
    <t>慢传染病</t>
  </si>
  <si>
    <t>@lastperson07</t>
  </si>
  <si>
    <t>Rata-rata 15 gift per hari (+2)</t>
  </si>
  <si>
    <t>SU… (nama terpotong)</t>
  </si>
  <si>
    <t>@sjugduh</t>
  </si>
  <si>
    <t>Nama terpotong</t>
  </si>
  <si>
    <t>DJRAV One Stop Centre</t>
  </si>
  <si>
    <t>@djrav3</t>
  </si>
  <si>
    <t>Benjy123</t>
  </si>
  <si>
    <t>@benjy105</t>
  </si>
  <si>
    <t>Alex+502</t>
  </si>
  <si>
    <t>@usursame4</t>
  </si>
  <si>
    <t>wasa</t>
  </si>
  <si>
    <t>@wasatma</t>
  </si>
  <si>
    <t>GRIMSHADOW</t>
  </si>
  <si>
    <t>@1grimshadow2</t>
  </si>
  <si>
    <t>Muncul di 2 screenshot; nilai lain: 32.995 koin (gbr 47)</t>
  </si>
  <si>
    <t>Ayanaa Moon</t>
  </si>
  <si>
    <t>@vieayanamoon_</t>
  </si>
  <si>
    <t>Rata-rata 108 gift per hari</t>
  </si>
  <si>
    <t>Belittled</t>
  </si>
  <si>
    <t>@pendosa_984</t>
  </si>
  <si>
    <t>Rata-rata 108 gift per hari (+2)</t>
  </si>
  <si>
    <t>Yivuuu</t>
  </si>
  <si>
    <t>@yveee1616</t>
  </si>
  <si>
    <t>It's you</t>
  </si>
  <si>
    <t>@its_you2204</t>
  </si>
  <si>
    <t>Kneesia</t>
  </si>
  <si>
    <t>@kneesia</t>
  </si>
  <si>
    <t>IGRIS</t>
  </si>
  <si>
    <t>@francisv306</t>
  </si>
  <si>
    <t>Riez M.Haidir</t>
  </si>
  <si>
    <t>@riezwafelz</t>
  </si>
  <si>
    <t>Mr AnJo</t>
  </si>
  <si>
    <t>@anjo9453</t>
  </si>
  <si>
    <t>gael M</t>
  </si>
  <si>
    <t>@gael971_973</t>
  </si>
  <si>
    <t>jacejace</t>
  </si>
  <si>
    <t>@jacejace.sg</t>
  </si>
  <si>
    <t>Johnb</t>
  </si>
  <si>
    <t>@john.b5377</t>
  </si>
  <si>
    <t>Rata-rata 41 gift per hari (+2)</t>
  </si>
  <si>
    <t>nyiha.</t>
  </si>
  <si>
    <t>@dumpnyiha</t>
  </si>
  <si>
    <t>Rata-rata 27 gift per hari (+3)</t>
  </si>
  <si>
    <t>Josésito(S-RETIRED)…</t>
  </si>
  <si>
    <t>@chema220122</t>
  </si>
  <si>
    <t>Mr. SnailZ</t>
  </si>
  <si>
    <t>@snailempire2</t>
  </si>
  <si>
    <t>Tier &amp; label terpotong</t>
  </si>
  <si>
    <t>CookieDoom</t>
  </si>
  <si>
    <t>@cookiedo0m</t>
  </si>
  <si>
    <t>Hardy</t>
  </si>
  <si>
    <t>@hardy42092</t>
  </si>
  <si>
    <t>Rata-rata 85 gift per hari (+2)</t>
  </si>
  <si>
    <t>layton</t>
  </si>
  <si>
    <t>@93924u4729</t>
  </si>
  <si>
    <t>3M</t>
  </si>
  <si>
    <t>@three.m04</t>
  </si>
  <si>
    <t>Rata-rata 152 gift per hari (+3)</t>
  </si>
  <si>
    <t>NAMY</t>
  </si>
  <si>
    <t>@blly929</t>
  </si>
  <si>
    <t>Sergio213</t>
  </si>
  <si>
    <t>@sergioo2133</t>
  </si>
  <si>
    <t>Hazim Samuri</t>
  </si>
  <si>
    <t>@hazim_samuri</t>
  </si>
  <si>
    <t>Sering kirim gift kecil (+7)</t>
  </si>
  <si>
    <t>PokeNatsu</t>
  </si>
  <si>
    <t>@pokenatsu</t>
  </si>
  <si>
    <t>BROKEN_TRUST</t>
  </si>
  <si>
    <t>@nothink_who2</t>
  </si>
  <si>
    <t>Avatar GC</t>
  </si>
  <si>
    <t>@avatar_gc</t>
  </si>
  <si>
    <t>Lion</t>
  </si>
  <si>
    <t>@sv.rauschi</t>
  </si>
  <si>
    <t>Saul</t>
  </si>
  <si>
    <t>@saul.valenzuela419</t>
  </si>
  <si>
    <t>뭔데</t>
  </si>
  <si>
    <t>@mwon_dea</t>
  </si>
  <si>
    <t>Rata-rata 79 gift per hari (+3)</t>
  </si>
  <si>
    <t>Hikari {REST}</t>
  </si>
  <si>
    <t>@aoihimi</t>
  </si>
  <si>
    <t>myaabdullah_</t>
  </si>
  <si>
    <t>@myaabdullah_</t>
  </si>
  <si>
    <t>TheyCallHimMichael</t>
  </si>
  <si>
    <t>@theycallhimmichael</t>
  </si>
  <si>
    <t>MyMochi</t>
  </si>
  <si>
    <t>@lonelinessinsideu</t>
  </si>
  <si>
    <t>finnaa lotuss</t>
  </si>
  <si>
    <t>@afrindaputry24</t>
  </si>
  <si>
    <t>Muncul di 2 screenshot; nilai lain: 23.085 koin (gbr 37)</t>
  </si>
  <si>
    <t>BRONTY</t>
  </si>
  <si>
    <t>@bronty888</t>
  </si>
  <si>
    <t>Pawang Buaya</t>
  </si>
  <si>
    <t>@ichsan.krisna.atm</t>
  </si>
  <si>
    <t>thatguywitheyeglasses</t>
  </si>
  <si>
    <t>@bleedingarmor</t>
  </si>
  <si>
    <t>Rata-rata 22 gift per hari (+2)</t>
  </si>
  <si>
    <t>AM14</t>
  </si>
  <si>
    <t>@andreas.martin761</t>
  </si>
  <si>
    <t>Imuett</t>
  </si>
  <si>
    <t>@meyaja13</t>
  </si>
  <si>
    <t>MR . KING</t>
  </si>
  <si>
    <t>@harahapgokil15</t>
  </si>
  <si>
    <t>SNIPER C@T</t>
  </si>
  <si>
    <t>@snipercatmiau</t>
  </si>
  <si>
    <t>AH AHH AAAAAHH</t>
  </si>
  <si>
    <t>@broken_smile291</t>
  </si>
  <si>
    <t>·monetDegil™</t>
  </si>
  <si>
    <t>@satusembilansembilannol</t>
  </si>
  <si>
    <t>Greg</t>
  </si>
  <si>
    <t>@gregkant</t>
  </si>
  <si>
    <t>Keff.Richeese'S</t>
  </si>
  <si>
    <t>@thumb236</t>
  </si>
  <si>
    <t>Rata-rata 9 gift per hari (+3)</t>
  </si>
  <si>
    <t>alan 05</t>
  </si>
  <si>
    <t>@alan_05mnc</t>
  </si>
  <si>
    <t>Cela</t>
  </si>
  <si>
    <t>@miss.cela</t>
  </si>
  <si>
    <t>Patrick_star</t>
  </si>
  <si>
    <t>@jak6666_</t>
  </si>
  <si>
    <t>qMikasa-_-</t>
  </si>
  <si>
    <t>@qmikasa3</t>
  </si>
  <si>
    <t>....</t>
  </si>
  <si>
    <t>@elmejor80123</t>
  </si>
  <si>
    <t>Lusey</t>
  </si>
  <si>
    <t>@hanya.lewatsaja</t>
  </si>
  <si>
    <t>Sigung Dhuut</t>
  </si>
  <si>
    <t>@sigung.dhuut</t>
  </si>
  <si>
    <t>Miss youu</t>
  </si>
  <si>
    <t>@mistri.anii</t>
  </si>
  <si>
    <t>Rata-rata 7 gift per hari (+3)</t>
  </si>
  <si>
    <t>YUTA</t>
  </si>
  <si>
    <t>@yunnnnnn35yu</t>
  </si>
  <si>
    <t>KHUNSA</t>
  </si>
  <si>
    <t>@khunsa000</t>
  </si>
  <si>
    <t>Daftar 'Semua pengirim dikenal' (244)</t>
  </si>
  <si>
    <t>Armanduha</t>
  </si>
  <si>
    <t>@armanduha1</t>
  </si>
  <si>
    <t>𓁹💫 (simbol)</t>
  </si>
  <si>
    <t>@apxxxƒƒgh</t>
  </si>
  <si>
    <t>GoodNightJack</t>
  </si>
  <si>
    <t>@goodnight.jack</t>
  </si>
  <si>
    <t>Avery</t>
  </si>
  <si>
    <t>@88888888avery</t>
  </si>
  <si>
    <t>Ken`</t>
  </si>
  <si>
    <t>@naspad79</t>
  </si>
  <si>
    <t>ᓚ (simbol)</t>
  </si>
  <si>
    <t>@ezgoing09</t>
  </si>
  <si>
    <t>d.hansen_</t>
  </si>
  <si>
    <t>@upinlcrp</t>
  </si>
  <si>
    <t>Chanda Simanjuntak</t>
  </si>
  <si>
    <t>@meisimanjuntak_250800</t>
  </si>
  <si>
    <t>Zeva</t>
  </si>
  <si>
    <t>@zephaniah.ts</t>
  </si>
  <si>
    <t>PAPA GEMOY</t>
  </si>
  <si>
    <t>@papagemoy__</t>
  </si>
  <si>
    <t>Linn Karine</t>
  </si>
  <si>
    <t>@linnkarine</t>
  </si>
  <si>
    <t>aRa</t>
  </si>
  <si>
    <t>@ra.sis7</t>
  </si>
  <si>
    <t>subzero</t>
  </si>
  <si>
    <t>@dontcallthisname</t>
  </si>
  <si>
    <t>Miguel</t>
  </si>
  <si>
    <t>@.miguelcmx</t>
  </si>
  <si>
    <t>Dino KrisChantika…</t>
  </si>
  <si>
    <t>@kris_dino_smoky_chantika</t>
  </si>
  <si>
    <t>たいちょー…</t>
  </si>
  <si>
    <t>@user6094813909613</t>
  </si>
  <si>
    <t>Sering kirim gift kecil (+3)</t>
  </si>
  <si>
    <t>N o i r</t>
  </si>
  <si>
    <t>@noir2109</t>
  </si>
  <si>
    <t>X - MEN</t>
  </si>
  <si>
    <t>@exs_men</t>
  </si>
  <si>
    <t>Mark's</t>
  </si>
  <si>
    <t>@invincible_elite007</t>
  </si>
  <si>
    <t>Bang Mara</t>
  </si>
  <si>
    <t>@sultanshoppu</t>
  </si>
  <si>
    <t>PapaSky</t>
  </si>
  <si>
    <t>@choaswolfy00</t>
  </si>
  <si>
    <t>Nyanya</t>
  </si>
  <si>
    <t>@himawari.nya</t>
  </si>
  <si>
    <t>[OFF] AbyssNyxa</t>
  </si>
  <si>
    <t>@obscuraguardian</t>
  </si>
  <si>
    <t>Alfonso</t>
  </si>
  <si>
    <t>@alfonso.sijabat</t>
  </si>
  <si>
    <t>Zx-25M</t>
  </si>
  <si>
    <t>@maichelzx25</t>
  </si>
  <si>
    <t>jhoni_kecil</t>
  </si>
  <si>
    <t>@bpknyaalipdanramadhan</t>
  </si>
  <si>
    <t>Very</t>
  </si>
  <si>
    <t>@fery_julian</t>
  </si>
  <si>
    <t>oldBoys</t>
  </si>
  <si>
    <t>@astromodeus26</t>
  </si>
  <si>
    <t>EDITOR DANCE X</t>
  </si>
  <si>
    <t>@edxworldwide</t>
  </si>
  <si>
    <t>CoCo IcHiBoZz</t>
  </si>
  <si>
    <t>@dimzjunpyo</t>
  </si>
  <si>
    <t>Noona</t>
  </si>
  <si>
    <t>@noona.tasya</t>
  </si>
  <si>
    <t>Rata-rata 9 gift per hari (+2)</t>
  </si>
  <si>
    <t>its.me.seruni</t>
  </si>
  <si>
    <t>@its.me.seruni</t>
  </si>
  <si>
    <t>Indigochild12</t>
  </si>
  <si>
    <t>@indigochild12</t>
  </si>
  <si>
    <t>Claraa</t>
  </si>
  <si>
    <t>@wieyna01___</t>
  </si>
  <si>
    <t>Eternelle claudia</t>
  </si>
  <si>
    <t>@claudiapouteau</t>
  </si>
  <si>
    <t>David Novelo</t>
  </si>
  <si>
    <t>@bystyles4</t>
  </si>
  <si>
    <t>Martin Andra</t>
  </si>
  <si>
    <t>@martin.andra68</t>
  </si>
  <si>
    <t>otey</t>
  </si>
  <si>
    <t>@oceanogamy</t>
  </si>
  <si>
    <t>Exar</t>
  </si>
  <si>
    <t>@exar.a_</t>
  </si>
  <si>
    <t>Norimaru</t>
  </si>
  <si>
    <t>@norimvru</t>
  </si>
  <si>
    <t>REGONES</t>
  </si>
  <si>
    <t>@r3g0n6it4r1s</t>
  </si>
  <si>
    <t>스티븐</t>
  </si>
  <si>
    <t>@steven_alexis123</t>
  </si>
  <si>
    <t>D</t>
  </si>
  <si>
    <t>@d018362</t>
  </si>
  <si>
    <r>
      <rPr>
        <rFont val="Noto Sans CJK SC"/>
        <color theme="1"/>
        <sz val="10.0"/>
      </rPr>
      <t>妮莉</t>
    </r>
    <r>
      <rPr>
        <rFont val="Arial"/>
        <color theme="1"/>
        <sz val="10.0"/>
      </rPr>
      <t>_</t>
    </r>
    <r>
      <rPr>
        <rFont val="Noto Sans CJK SC"/>
        <color theme="1"/>
        <sz val="10.0"/>
      </rPr>
      <t>奇苏</t>
    </r>
  </si>
  <si>
    <t>@chisue096726</t>
  </si>
  <si>
    <t>Rata-rata 6 gift per hari (+3)</t>
  </si>
  <si>
    <t>Amyy</t>
  </si>
  <si>
    <t>@itsmeonlyss</t>
  </si>
  <si>
    <t>Lupa Lupa</t>
  </si>
  <si>
    <t>@kalkuta.heaven</t>
  </si>
  <si>
    <t>HRD Neraka</t>
  </si>
  <si>
    <t>@abbyisma</t>
  </si>
  <si>
    <t>ヴァヴァ</t>
  </si>
  <si>
    <t>@onyxxxxx6</t>
  </si>
  <si>
    <t>PoTUi</t>
  </si>
  <si>
    <t>@user3250344035010</t>
  </si>
  <si>
    <t>Gita</t>
  </si>
  <si>
    <t>@ghittaindah</t>
  </si>
  <si>
    <t>Henk Heikens</t>
  </si>
  <si>
    <t>@henk_heikens</t>
  </si>
  <si>
    <t>Rata-rata 19 gift per hari (+3)</t>
  </si>
  <si>
    <t>Nicki2510 KPop</t>
  </si>
  <si>
    <t>@nicki2510_</t>
  </si>
  <si>
    <t>50% coin ke kategori DB (+1)</t>
  </si>
  <si>
    <t>w15nu 4f</t>
  </si>
  <si>
    <t>@wisnualfaries</t>
  </si>
  <si>
    <t>S.A_</t>
  </si>
  <si>
    <t>@shant.blue_16</t>
  </si>
  <si>
    <t>fwakom</t>
  </si>
  <si>
    <t>@fwakom196</t>
  </si>
  <si>
    <t>PH… (nama terpotong)</t>
  </si>
  <si>
    <t>@demonkane12</t>
  </si>
  <si>
    <t>Nama terpotong di screenshot</t>
  </si>
  <si>
    <t>♡MeyChan♡</t>
  </si>
  <si>
    <t>@_meychen_</t>
  </si>
  <si>
    <t>✨eF🖤</t>
  </si>
  <si>
    <t>@ftrdrkvn</t>
  </si>
  <si>
    <t>Rata-rata 8 gift per hari (+3)</t>
  </si>
  <si>
    <t>📌فزرین</t>
  </si>
  <si>
    <t>@payennn_</t>
  </si>
  <si>
    <t>✝️VARLIAN👻</t>
  </si>
  <si>
    <t>@demmm1922</t>
  </si>
  <si>
    <t>Dhiana4Dhie D'Moonlig…</t>
  </si>
  <si>
    <t>@rdhianasetiawati</t>
  </si>
  <si>
    <t>Cloudy</t>
  </si>
  <si>
    <t>@cloudy3981</t>
  </si>
  <si>
    <t>Muncul di 2 screenshot; nilai lain: 2.085 koin (gbr 50)</t>
  </si>
  <si>
    <t>Williamsz21</t>
  </si>
  <si>
    <t>@william.yang21</t>
  </si>
  <si>
    <t>Kirooooo</t>
  </si>
  <si>
    <t>@kiirowwwwww</t>
  </si>
  <si>
    <t>cancimen cangcimen</t>
  </si>
  <si>
    <t>@abieya_hanggareksa</t>
  </si>
  <si>
    <t>Halaman 6/10 (126-150 dari 244)</t>
  </si>
  <si>
    <t>MIKO SAKURA…</t>
  </si>
  <si>
    <t>@nettysakura368</t>
  </si>
  <si>
    <t>STEF</t>
  </si>
  <si>
    <t>@stefliesar</t>
  </si>
  <si>
    <t>Nup's</t>
  </si>
  <si>
    <t>@abcde.fghijk.lmnopp</t>
  </si>
  <si>
    <t>Sering kirim gift kecil (+2)</t>
  </si>
  <si>
    <t>zbyszekjueppner</t>
  </si>
  <si>
    <t>@zbyszekjueppner</t>
  </si>
  <si>
    <t>H-TEMBAM</t>
  </si>
  <si>
    <t>@tembamzz</t>
  </si>
  <si>
    <t>Shin</t>
  </si>
  <si>
    <t>@shinti4_80</t>
  </si>
  <si>
    <t>Ridz</t>
  </si>
  <si>
    <t>@ridz4637</t>
  </si>
  <si>
    <t>♌ⓀⒶⓀⒿⒶⒶ✨</t>
  </si>
  <si>
    <t>@kakjaa35</t>
  </si>
  <si>
    <t>Beccaaa</t>
  </si>
  <si>
    <t>@resarn08</t>
  </si>
  <si>
    <t>mgwdtpjaw</t>
  </si>
  <si>
    <t>@user8223432144734</t>
  </si>
  <si>
    <t>Ehan</t>
  </si>
  <si>
    <t>@tezharnooro</t>
  </si>
  <si>
    <t>ANNA</t>
  </si>
  <si>
    <t>@slodkieslonce</t>
  </si>
  <si>
    <t>by.swANzzzz.ky</t>
  </si>
  <si>
    <t>@bw.bgswrsn</t>
  </si>
  <si>
    <t>chael</t>
  </si>
  <si>
    <t>@chaell.12</t>
  </si>
  <si>
    <t>Mita</t>
  </si>
  <si>
    <t>@mitafahcrunnisa</t>
  </si>
  <si>
    <t>Diyannn.</t>
  </si>
  <si>
    <t>@dynxyz0</t>
  </si>
  <si>
    <t>Fitri Pevensie</t>
  </si>
  <si>
    <t>@fitriannash</t>
  </si>
  <si>
    <t>Jendral Muda</t>
  </si>
  <si>
    <t>@sandekala751</t>
  </si>
  <si>
    <t>Ronny RonDon Tilken</t>
  </si>
  <si>
    <t>@rondon1904</t>
  </si>
  <si>
    <r>
      <rPr>
        <rFont val="Noto Sans CJK SC"/>
        <color theme="1"/>
        <sz val="10.0"/>
      </rPr>
      <t xml:space="preserve">나비 </t>
    </r>
    <r>
      <rPr>
        <rFont val="Arial"/>
        <color theme="1"/>
        <sz val="10.0"/>
      </rPr>
      <t>Nabila</t>
    </r>
  </si>
  <si>
    <t>@bill26_10</t>
  </si>
  <si>
    <t>Rata-rata 6 gift per hari (+2)</t>
  </si>
  <si>
    <t>Amanda</t>
  </si>
  <si>
    <t>@amandaa.h</t>
  </si>
  <si>
    <t>Devi Astrianti</t>
  </si>
  <si>
    <t>@devi.astrianti27</t>
  </si>
  <si>
    <t>IBLIS HANDSOME</t>
  </si>
  <si>
    <t>@xiao_wei9495</t>
  </si>
  <si>
    <t>Mantri Gendut</t>
  </si>
  <si>
    <t>@gu_mingtian</t>
  </si>
  <si>
    <t>(emoji mawar)</t>
  </si>
  <si>
    <t>@soul777hhh</t>
  </si>
  <si>
    <t>tennyours_id</t>
  </si>
  <si>
    <t>@tennyours_id</t>
  </si>
  <si>
    <t>Zhie</t>
  </si>
  <si>
    <t>@nikita16_zhie</t>
  </si>
  <si>
    <t>Aaron</t>
  </si>
  <si>
    <t>@aaronmechen</t>
  </si>
  <si>
    <t>BAYAR UTANG KAMU</t>
  </si>
  <si>
    <t>@ericmartinkalingga</t>
  </si>
  <si>
    <t>Ayy_story13</t>
  </si>
  <si>
    <t>@sadstory1304</t>
  </si>
  <si>
    <t>Azis_Radhyt</t>
  </si>
  <si>
    <t>@radit_akasuke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</si>
</sst>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Noto Sans"/>
    </font>
    <font>
      <i/>
      <sz val="11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  <border>
      <bottom style="thin">
        <color rgb="FFCCCCCC"/>
      </bottom>
    </border>
    <border>
      <left/>
      <right/>
      <top/>
      <bottom style="thin">
        <color rgb="FFCCCCC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2" fontId="3" numFmtId="0" xfId="0" applyAlignment="1" applyBorder="1" applyFill="1" applyFont="1">
      <alignment horizontal="center" vertical="bottom"/>
    </xf>
    <xf borderId="3" fillId="3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4" fillId="0" fontId="6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0"/>
    </xf>
    <xf borderId="4" fillId="0" fontId="6" numFmtId="3" xfId="0" applyAlignment="1" applyBorder="1" applyFont="1" applyNumberFormat="1">
      <alignment horizontal="center" shrinkToFit="0" vertical="center" wrapText="0"/>
    </xf>
    <xf borderId="1" fillId="0" fontId="5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5" fillId="4" fontId="6" numFmtId="0" xfId="0" applyAlignment="1" applyBorder="1" applyFill="1" applyFont="1">
      <alignment horizontal="center" readingOrder="0" shrinkToFit="0" vertical="center" wrapText="0"/>
    </xf>
    <xf borderId="5" fillId="4" fontId="6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0" fontId="7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2" fillId="0" fontId="2" numFmtId="0" xfId="0" applyAlignment="1" applyBorder="1" applyFont="1">
      <alignment horizontal="right" vertical="bottom"/>
    </xf>
    <xf borderId="4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28.0"/>
    <col customWidth="1" min="4" max="4" width="9.0"/>
    <col customWidth="1" min="5" max="5" width="7.0"/>
    <col customWidth="1" min="6" max="6" width="13.0"/>
    <col customWidth="1" min="7" max="7" width="14.0"/>
    <col customWidth="1" min="8" max="8" width="36.0"/>
    <col customWidth="1" min="9" max="9" width="40.0"/>
    <col customWidth="1" min="10" max="10" width="14.0"/>
    <col customWidth="1" min="11" max="11" width="16.0"/>
    <col customWidth="1" min="12" max="25" width="8.71"/>
  </cols>
  <sheetData>
    <row r="1" ht="30.0" customHeight="1">
      <c r="A1" s="4" t="s">
        <v>1</v>
      </c>
      <c r="B1" s="4" t="s">
        <v>4</v>
      </c>
      <c r="C1" s="4" t="s">
        <v>5</v>
      </c>
      <c r="D1" s="4" t="s">
        <v>7</v>
      </c>
      <c r="E1" s="4" t="s">
        <v>8</v>
      </c>
      <c r="F1" s="4" t="s">
        <v>9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</row>
    <row r="2">
      <c r="A2" s="8">
        <v>1.0</v>
      </c>
      <c r="B2" s="9" t="s">
        <v>17</v>
      </c>
      <c r="C2" s="10" t="s">
        <v>18</v>
      </c>
      <c r="D2" s="11">
        <v>3430.0</v>
      </c>
      <c r="E2" s="8">
        <v>3.0</v>
      </c>
      <c r="F2" s="11">
        <v>1211566.0</v>
      </c>
      <c r="G2" s="10" t="s">
        <v>19</v>
      </c>
      <c r="H2" s="9" t="s">
        <v>21</v>
      </c>
      <c r="I2" s="9" t="s">
        <v>22</v>
      </c>
      <c r="J2" s="15" t="s">
        <v>24</v>
      </c>
      <c r="K2" s="16" t="s">
        <v>26</v>
      </c>
    </row>
    <row r="3">
      <c r="A3" s="8">
        <v>2.0</v>
      </c>
      <c r="B3" s="9" t="s">
        <v>27</v>
      </c>
      <c r="C3" s="10" t="s">
        <v>28</v>
      </c>
      <c r="D3" s="11">
        <v>1006.0</v>
      </c>
      <c r="E3" s="8">
        <v>4.0</v>
      </c>
      <c r="F3" s="11">
        <v>1039106.0</v>
      </c>
      <c r="G3" s="10" t="s">
        <v>19</v>
      </c>
      <c r="H3" s="9" t="s">
        <v>21</v>
      </c>
      <c r="I3" s="9"/>
      <c r="J3" s="15" t="s">
        <v>24</v>
      </c>
      <c r="K3" s="16" t="s">
        <v>26</v>
      </c>
    </row>
    <row r="4">
      <c r="A4" s="8">
        <v>3.0</v>
      </c>
      <c r="B4" s="9" t="s">
        <v>30</v>
      </c>
      <c r="C4" s="10" t="s">
        <v>31</v>
      </c>
      <c r="D4" s="11">
        <v>419.0</v>
      </c>
      <c r="E4" s="8">
        <v>6.0</v>
      </c>
      <c r="F4" s="11">
        <v>607404.0</v>
      </c>
      <c r="G4" s="10" t="s">
        <v>19</v>
      </c>
      <c r="H4" s="9" t="s">
        <v>32</v>
      </c>
      <c r="I4" s="9"/>
      <c r="J4" s="15" t="s">
        <v>24</v>
      </c>
      <c r="K4" s="16" t="s">
        <v>26</v>
      </c>
    </row>
    <row r="5">
      <c r="A5" s="8">
        <v>4.0</v>
      </c>
      <c r="B5" s="9" t="s">
        <v>34</v>
      </c>
      <c r="C5" s="10" t="s">
        <v>35</v>
      </c>
      <c r="D5" s="11">
        <v>1970.0</v>
      </c>
      <c r="E5" s="8">
        <v>3.0</v>
      </c>
      <c r="F5" s="11">
        <v>596978.0</v>
      </c>
      <c r="G5" s="10" t="s">
        <v>19</v>
      </c>
      <c r="H5" s="9" t="s">
        <v>32</v>
      </c>
      <c r="I5" s="9"/>
      <c r="J5" s="15" t="s">
        <v>24</v>
      </c>
      <c r="K5" s="16" t="s">
        <v>26</v>
      </c>
    </row>
    <row r="6">
      <c r="A6" s="8">
        <v>5.0</v>
      </c>
      <c r="B6" s="9" t="s">
        <v>36</v>
      </c>
      <c r="C6" s="10" t="s">
        <v>37</v>
      </c>
      <c r="D6" s="11">
        <v>2785.0</v>
      </c>
      <c r="E6" s="8">
        <v>6.0</v>
      </c>
      <c r="F6" s="11">
        <v>572837.0</v>
      </c>
      <c r="G6" s="10" t="s">
        <v>19</v>
      </c>
      <c r="H6" s="9" t="s">
        <v>38</v>
      </c>
      <c r="I6" s="9"/>
      <c r="J6" s="15" t="s">
        <v>24</v>
      </c>
      <c r="K6" s="16" t="s">
        <v>26</v>
      </c>
    </row>
    <row r="7">
      <c r="A7" s="8">
        <v>6.0</v>
      </c>
      <c r="B7" s="9" t="s">
        <v>39</v>
      </c>
      <c r="C7" s="10" t="s">
        <v>40</v>
      </c>
      <c r="D7" s="11">
        <v>757.0</v>
      </c>
      <c r="E7" s="8">
        <v>4.0</v>
      </c>
      <c r="F7" s="11">
        <v>544210.0</v>
      </c>
      <c r="G7" s="10" t="s">
        <v>19</v>
      </c>
      <c r="H7" s="9" t="s">
        <v>32</v>
      </c>
      <c r="I7" s="9"/>
      <c r="J7" s="15" t="s">
        <v>24</v>
      </c>
      <c r="K7" s="16" t="s">
        <v>26</v>
      </c>
    </row>
    <row r="8">
      <c r="A8" s="8">
        <v>7.0</v>
      </c>
      <c r="B8" s="9" t="s">
        <v>41</v>
      </c>
      <c r="C8" s="10" t="s">
        <v>42</v>
      </c>
      <c r="D8" s="11">
        <v>13239.0</v>
      </c>
      <c r="E8" s="8">
        <v>3.0</v>
      </c>
      <c r="F8" s="11">
        <v>501213.0</v>
      </c>
      <c r="G8" s="10" t="s">
        <v>19</v>
      </c>
      <c r="H8" s="9" t="s">
        <v>21</v>
      </c>
      <c r="I8" s="9"/>
      <c r="J8" s="15" t="s">
        <v>24</v>
      </c>
      <c r="K8" s="16" t="s">
        <v>26</v>
      </c>
    </row>
    <row r="9">
      <c r="A9" s="8">
        <v>8.0</v>
      </c>
      <c r="B9" s="9" t="s">
        <v>44</v>
      </c>
      <c r="C9" s="10" t="s">
        <v>45</v>
      </c>
      <c r="D9" s="11">
        <v>1419.0</v>
      </c>
      <c r="E9" s="8">
        <v>6.0</v>
      </c>
      <c r="F9" s="11">
        <v>362514.0</v>
      </c>
      <c r="G9" s="10" t="s">
        <v>19</v>
      </c>
      <c r="H9" s="9" t="s">
        <v>46</v>
      </c>
      <c r="I9" s="9"/>
      <c r="J9" s="15" t="s">
        <v>24</v>
      </c>
      <c r="K9" s="16" t="s">
        <v>26</v>
      </c>
    </row>
    <row r="10">
      <c r="A10" s="8">
        <v>9.0</v>
      </c>
      <c r="B10" s="9" t="s">
        <v>47</v>
      </c>
      <c r="C10" s="10" t="s">
        <v>48</v>
      </c>
      <c r="D10" s="11">
        <v>136.0</v>
      </c>
      <c r="E10" s="8">
        <v>6.0</v>
      </c>
      <c r="F10" s="11">
        <v>329979.0</v>
      </c>
      <c r="G10" s="10" t="s">
        <v>19</v>
      </c>
      <c r="H10" s="9" t="s">
        <v>51</v>
      </c>
      <c r="I10" s="9"/>
      <c r="J10" s="15" t="s">
        <v>24</v>
      </c>
      <c r="K10" s="16" t="s">
        <v>26</v>
      </c>
    </row>
    <row r="11">
      <c r="A11" s="8">
        <v>10.0</v>
      </c>
      <c r="B11" s="9" t="s">
        <v>52</v>
      </c>
      <c r="C11" s="10" t="s">
        <v>53</v>
      </c>
      <c r="D11" s="11">
        <v>2317.0</v>
      </c>
      <c r="E11" s="8">
        <v>6.0</v>
      </c>
      <c r="F11" s="11">
        <v>290317.0</v>
      </c>
      <c r="G11" s="10" t="s">
        <v>19</v>
      </c>
      <c r="H11" s="9" t="s">
        <v>54</v>
      </c>
      <c r="I11" s="9"/>
      <c r="J11" s="15" t="s">
        <v>24</v>
      </c>
      <c r="K11" s="16" t="s">
        <v>26</v>
      </c>
    </row>
    <row r="12">
      <c r="A12" s="8">
        <v>11.0</v>
      </c>
      <c r="B12" s="9" t="s">
        <v>55</v>
      </c>
      <c r="C12" s="10" t="s">
        <v>56</v>
      </c>
      <c r="D12" s="11">
        <v>461.0</v>
      </c>
      <c r="E12" s="8">
        <v>6.0</v>
      </c>
      <c r="F12" s="11">
        <v>283968.0</v>
      </c>
      <c r="G12" s="10" t="s">
        <v>19</v>
      </c>
      <c r="H12" s="9" t="s">
        <v>57</v>
      </c>
      <c r="I12" s="9"/>
      <c r="J12" s="16" t="s">
        <v>26</v>
      </c>
      <c r="K12" s="16" t="s">
        <v>26</v>
      </c>
    </row>
    <row r="13">
      <c r="A13" s="8">
        <v>12.0</v>
      </c>
      <c r="B13" s="23" t="s">
        <v>62</v>
      </c>
      <c r="C13" s="10" t="s">
        <v>64</v>
      </c>
      <c r="D13" s="11">
        <v>8164.0</v>
      </c>
      <c r="E13" s="8">
        <v>6.0</v>
      </c>
      <c r="F13" s="11">
        <v>267810.0</v>
      </c>
      <c r="G13" s="10" t="s">
        <v>19</v>
      </c>
      <c r="H13" s="9" t="s">
        <v>57</v>
      </c>
      <c r="I13" s="9"/>
      <c r="J13" s="16" t="s">
        <v>26</v>
      </c>
      <c r="K13" s="16" t="s">
        <v>26</v>
      </c>
    </row>
    <row r="14">
      <c r="A14" s="8">
        <v>13.0</v>
      </c>
      <c r="B14" s="9" t="s">
        <v>66</v>
      </c>
      <c r="C14" s="10" t="s">
        <v>67</v>
      </c>
      <c r="D14" s="11">
        <v>22.0</v>
      </c>
      <c r="E14" s="8">
        <v>6.0</v>
      </c>
      <c r="F14" s="11">
        <v>248797.0</v>
      </c>
      <c r="G14" s="10" t="s">
        <v>19</v>
      </c>
      <c r="H14" s="9" t="s">
        <v>68</v>
      </c>
      <c r="I14" s="9"/>
      <c r="J14" s="16" t="s">
        <v>26</v>
      </c>
      <c r="K14" s="16" t="s">
        <v>26</v>
      </c>
    </row>
    <row r="15">
      <c r="A15" s="8">
        <v>14.0</v>
      </c>
      <c r="B15" s="9" t="s">
        <v>69</v>
      </c>
      <c r="C15" s="10" t="s">
        <v>70</v>
      </c>
      <c r="D15" s="11">
        <v>1289.0</v>
      </c>
      <c r="E15" s="8">
        <v>4.0</v>
      </c>
      <c r="F15" s="11">
        <v>205318.0</v>
      </c>
      <c r="G15" s="10" t="s">
        <v>19</v>
      </c>
      <c r="H15" s="9" t="s">
        <v>32</v>
      </c>
      <c r="I15" s="9"/>
      <c r="J15" s="16" t="s">
        <v>26</v>
      </c>
      <c r="K15" s="16" t="s">
        <v>26</v>
      </c>
    </row>
    <row r="16">
      <c r="A16" s="8">
        <v>15.0</v>
      </c>
      <c r="B16" s="9" t="s">
        <v>72</v>
      </c>
      <c r="C16" s="10" t="s">
        <v>73</v>
      </c>
      <c r="D16" s="11">
        <v>14569.0</v>
      </c>
      <c r="E16" s="8">
        <v>3.0</v>
      </c>
      <c r="F16" s="11">
        <v>204419.0</v>
      </c>
      <c r="G16" s="10" t="s">
        <v>19</v>
      </c>
      <c r="H16" s="9" t="s">
        <v>32</v>
      </c>
      <c r="I16" s="9"/>
      <c r="J16" s="16" t="s">
        <v>26</v>
      </c>
      <c r="K16" s="16" t="s">
        <v>26</v>
      </c>
    </row>
    <row r="17">
      <c r="A17" s="8">
        <v>16.0</v>
      </c>
      <c r="B17" s="9" t="s">
        <v>75</v>
      </c>
      <c r="C17" s="10" t="s">
        <v>76</v>
      </c>
      <c r="D17" s="11">
        <v>3743.0</v>
      </c>
      <c r="E17" s="8">
        <v>3.0</v>
      </c>
      <c r="F17" s="11">
        <v>202959.0</v>
      </c>
      <c r="G17" s="10" t="s">
        <v>19</v>
      </c>
      <c r="H17" s="9" t="s">
        <v>46</v>
      </c>
      <c r="I17" s="9"/>
      <c r="J17" s="16" t="s">
        <v>26</v>
      </c>
      <c r="K17" s="16" t="s">
        <v>26</v>
      </c>
    </row>
    <row r="18">
      <c r="A18" s="8">
        <v>17.0</v>
      </c>
      <c r="B18" s="9" t="s">
        <v>77</v>
      </c>
      <c r="C18" s="10" t="s">
        <v>78</v>
      </c>
      <c r="D18" s="11">
        <v>2330.0</v>
      </c>
      <c r="E18" s="8">
        <v>3.0</v>
      </c>
      <c r="F18" s="11">
        <v>198658.0</v>
      </c>
      <c r="G18" s="10" t="s">
        <v>19</v>
      </c>
      <c r="H18" s="9" t="s">
        <v>32</v>
      </c>
      <c r="I18" s="9"/>
      <c r="J18" s="16" t="s">
        <v>26</v>
      </c>
      <c r="K18" s="16" t="s">
        <v>26</v>
      </c>
    </row>
    <row r="19">
      <c r="A19" s="8">
        <v>18.0</v>
      </c>
      <c r="B19" s="9" t="s">
        <v>79</v>
      </c>
      <c r="C19" s="10" t="s">
        <v>80</v>
      </c>
      <c r="D19" s="11">
        <v>16449.0</v>
      </c>
      <c r="E19" s="8">
        <v>6.0</v>
      </c>
      <c r="F19" s="11">
        <v>193512.0</v>
      </c>
      <c r="G19" s="10" t="s">
        <v>19</v>
      </c>
      <c r="H19" s="9" t="s">
        <v>46</v>
      </c>
      <c r="I19" s="9"/>
      <c r="J19" s="16" t="s">
        <v>26</v>
      </c>
      <c r="K19" s="16" t="s">
        <v>26</v>
      </c>
    </row>
    <row r="20">
      <c r="A20" s="8">
        <v>19.0</v>
      </c>
      <c r="B20" s="9" t="s">
        <v>81</v>
      </c>
      <c r="C20" s="10" t="s">
        <v>82</v>
      </c>
      <c r="D20" s="11">
        <v>2104.0</v>
      </c>
      <c r="E20" s="8">
        <v>6.0</v>
      </c>
      <c r="F20" s="11">
        <v>188103.0</v>
      </c>
      <c r="G20" s="10" t="s">
        <v>19</v>
      </c>
      <c r="H20" s="9" t="s">
        <v>32</v>
      </c>
      <c r="I20" s="9"/>
      <c r="J20" s="16" t="s">
        <v>26</v>
      </c>
      <c r="K20" s="16" t="s">
        <v>26</v>
      </c>
    </row>
    <row r="21" ht="15.75" customHeight="1">
      <c r="A21" s="8">
        <v>20.0</v>
      </c>
      <c r="B21" s="9" t="s">
        <v>83</v>
      </c>
      <c r="C21" s="10" t="s">
        <v>84</v>
      </c>
      <c r="D21" s="11">
        <v>1322.0</v>
      </c>
      <c r="E21" s="8">
        <v>3.0</v>
      </c>
      <c r="F21" s="11">
        <v>160745.0</v>
      </c>
      <c r="G21" s="10" t="s">
        <v>19</v>
      </c>
      <c r="H21" s="9" t="s">
        <v>85</v>
      </c>
      <c r="I21" s="9"/>
      <c r="J21" s="16" t="s">
        <v>26</v>
      </c>
      <c r="K21" s="16" t="s">
        <v>26</v>
      </c>
    </row>
    <row r="22" ht="15.75" customHeight="1">
      <c r="A22" s="8">
        <v>21.0</v>
      </c>
      <c r="B22" s="9" t="s">
        <v>86</v>
      </c>
      <c r="C22" s="10" t="s">
        <v>87</v>
      </c>
      <c r="D22" s="11">
        <v>173.0</v>
      </c>
      <c r="E22" s="8">
        <v>5.0</v>
      </c>
      <c r="F22" s="11">
        <v>160653.0</v>
      </c>
      <c r="G22" s="10" t="s">
        <v>19</v>
      </c>
      <c r="H22" s="9" t="s">
        <v>32</v>
      </c>
      <c r="I22" s="9"/>
      <c r="J22" s="16" t="s">
        <v>26</v>
      </c>
      <c r="K22" s="16" t="s">
        <v>26</v>
      </c>
    </row>
    <row r="23" ht="15.75" customHeight="1">
      <c r="A23" s="8">
        <v>22.0</v>
      </c>
      <c r="B23" s="9" t="s">
        <v>89</v>
      </c>
      <c r="C23" s="10" t="s">
        <v>90</v>
      </c>
      <c r="D23" s="11">
        <v>1069.0</v>
      </c>
      <c r="E23" s="8">
        <v>4.0</v>
      </c>
      <c r="F23" s="11">
        <v>156607.0</v>
      </c>
      <c r="G23" s="10" t="s">
        <v>19</v>
      </c>
      <c r="H23" s="9" t="s">
        <v>32</v>
      </c>
      <c r="I23" s="9"/>
      <c r="J23" s="16" t="s">
        <v>26</v>
      </c>
      <c r="K23" s="16" t="s">
        <v>26</v>
      </c>
    </row>
    <row r="24" ht="15.75" customHeight="1">
      <c r="A24" s="8">
        <v>23.0</v>
      </c>
      <c r="B24" s="9" t="s">
        <v>92</v>
      </c>
      <c r="C24" s="10" t="s">
        <v>93</v>
      </c>
      <c r="D24" s="11">
        <v>28.0</v>
      </c>
      <c r="E24" s="8">
        <v>4.0</v>
      </c>
      <c r="F24" s="11">
        <v>139788.0</v>
      </c>
      <c r="G24" s="10" t="s">
        <v>19</v>
      </c>
      <c r="H24" s="9" t="s">
        <v>46</v>
      </c>
      <c r="I24" s="9"/>
      <c r="J24" s="16" t="s">
        <v>26</v>
      </c>
      <c r="K24" s="16" t="s">
        <v>26</v>
      </c>
    </row>
    <row r="25" ht="15.75" customHeight="1">
      <c r="A25" s="8">
        <v>24.0</v>
      </c>
      <c r="B25" s="9" t="s">
        <v>95</v>
      </c>
      <c r="C25" s="10" t="s">
        <v>96</v>
      </c>
      <c r="D25" s="11">
        <v>411.0</v>
      </c>
      <c r="E25" s="8">
        <v>2.0</v>
      </c>
      <c r="F25" s="11">
        <v>138790.0</v>
      </c>
      <c r="G25" s="10" t="s">
        <v>19</v>
      </c>
      <c r="H25" s="9" t="s">
        <v>32</v>
      </c>
      <c r="I25" s="9"/>
      <c r="J25" s="16" t="s">
        <v>26</v>
      </c>
      <c r="K25" s="16" t="s">
        <v>26</v>
      </c>
    </row>
    <row r="26" ht="15.75" customHeight="1">
      <c r="A26" s="8">
        <v>25.0</v>
      </c>
      <c r="B26" s="9" t="s">
        <v>98</v>
      </c>
      <c r="C26" s="10" t="s">
        <v>99</v>
      </c>
      <c r="D26" s="11">
        <v>209.0</v>
      </c>
      <c r="E26" s="8">
        <v>3.0</v>
      </c>
      <c r="F26" s="11">
        <v>137013.0</v>
      </c>
      <c r="G26" s="10" t="s">
        <v>19</v>
      </c>
      <c r="H26" s="9" t="s">
        <v>85</v>
      </c>
      <c r="I26" s="9" t="s">
        <v>100</v>
      </c>
      <c r="J26" s="16" t="s">
        <v>26</v>
      </c>
      <c r="K26" s="16" t="s">
        <v>26</v>
      </c>
    </row>
    <row r="27" ht="15.75" customHeight="1">
      <c r="A27" s="8">
        <v>26.0</v>
      </c>
      <c r="B27" s="9" t="s">
        <v>102</v>
      </c>
      <c r="C27" s="10" t="s">
        <v>103</v>
      </c>
      <c r="D27" s="11">
        <v>4080.0</v>
      </c>
      <c r="E27" s="8">
        <v>4.0</v>
      </c>
      <c r="F27" s="11">
        <v>131246.0</v>
      </c>
      <c r="G27" s="10" t="s">
        <v>19</v>
      </c>
      <c r="H27" s="9" t="s">
        <v>32</v>
      </c>
      <c r="I27" s="9"/>
      <c r="J27" s="16" t="s">
        <v>26</v>
      </c>
      <c r="K27" s="16" t="s">
        <v>26</v>
      </c>
    </row>
    <row r="28" ht="15.75" customHeight="1">
      <c r="A28" s="8">
        <v>27.0</v>
      </c>
      <c r="B28" s="9" t="s">
        <v>105</v>
      </c>
      <c r="C28" s="10" t="s">
        <v>106</v>
      </c>
      <c r="D28" s="11">
        <v>1697.0</v>
      </c>
      <c r="E28" s="8">
        <v>6.0</v>
      </c>
      <c r="F28" s="11">
        <v>128085.0</v>
      </c>
      <c r="G28" s="10" t="s">
        <v>19</v>
      </c>
      <c r="H28" s="9" t="s">
        <v>85</v>
      </c>
      <c r="I28" s="9"/>
      <c r="J28" s="16" t="s">
        <v>26</v>
      </c>
      <c r="K28" s="16" t="s">
        <v>26</v>
      </c>
    </row>
    <row r="29" ht="15.75" customHeight="1">
      <c r="A29" s="8">
        <v>28.0</v>
      </c>
      <c r="B29" s="9" t="s">
        <v>108</v>
      </c>
      <c r="C29" s="10" t="s">
        <v>109</v>
      </c>
      <c r="D29" s="11">
        <v>7757.0</v>
      </c>
      <c r="E29" s="8">
        <v>6.0</v>
      </c>
      <c r="F29" s="11">
        <v>124974.0</v>
      </c>
      <c r="G29" s="10" t="s">
        <v>19</v>
      </c>
      <c r="H29" s="9" t="s">
        <v>21</v>
      </c>
      <c r="I29" s="9"/>
      <c r="J29" s="16" t="s">
        <v>26</v>
      </c>
      <c r="K29" s="16" t="s">
        <v>26</v>
      </c>
    </row>
    <row r="30" ht="15.75" customHeight="1">
      <c r="A30" s="8">
        <v>29.0</v>
      </c>
      <c r="B30" s="9" t="s">
        <v>111</v>
      </c>
      <c r="C30" s="10" t="s">
        <v>112</v>
      </c>
      <c r="D30" s="11">
        <v>2041.0</v>
      </c>
      <c r="E30" s="8">
        <v>4.0</v>
      </c>
      <c r="F30" s="11">
        <v>124239.0</v>
      </c>
      <c r="G30" s="10" t="s">
        <v>19</v>
      </c>
      <c r="H30" s="9" t="s">
        <v>32</v>
      </c>
      <c r="I30" s="9"/>
      <c r="J30" s="16" t="s">
        <v>26</v>
      </c>
      <c r="K30" s="16" t="s">
        <v>26</v>
      </c>
    </row>
    <row r="31" ht="15.75" customHeight="1">
      <c r="A31" s="8">
        <v>30.0</v>
      </c>
      <c r="B31" s="9" t="s">
        <v>114</v>
      </c>
      <c r="C31" s="10" t="s">
        <v>115</v>
      </c>
      <c r="D31" s="11">
        <v>317.0</v>
      </c>
      <c r="E31" s="8">
        <v>6.0</v>
      </c>
      <c r="F31" s="11">
        <v>123926.0</v>
      </c>
      <c r="G31" s="10" t="s">
        <v>19</v>
      </c>
      <c r="H31" s="9" t="s">
        <v>116</v>
      </c>
      <c r="I31" s="9"/>
      <c r="J31" s="16" t="s">
        <v>26</v>
      </c>
      <c r="K31" s="16" t="s">
        <v>26</v>
      </c>
    </row>
    <row r="32" ht="15.75" customHeight="1">
      <c r="A32" s="8">
        <v>31.0</v>
      </c>
      <c r="B32" s="9" t="s">
        <v>118</v>
      </c>
      <c r="C32" s="10" t="s">
        <v>119</v>
      </c>
      <c r="D32" s="11">
        <v>163.0</v>
      </c>
      <c r="E32" s="8">
        <v>6.0</v>
      </c>
      <c r="F32" s="11">
        <v>123920.0</v>
      </c>
      <c r="G32" s="10" t="s">
        <v>19</v>
      </c>
      <c r="H32" s="9" t="s">
        <v>116</v>
      </c>
      <c r="I32" s="9"/>
      <c r="J32" s="16" t="s">
        <v>26</v>
      </c>
      <c r="K32" s="16" t="s">
        <v>26</v>
      </c>
    </row>
    <row r="33" ht="15.75" customHeight="1">
      <c r="A33" s="8">
        <v>32.0</v>
      </c>
      <c r="B33" s="9" t="s">
        <v>121</v>
      </c>
      <c r="C33" s="10" t="s">
        <v>122</v>
      </c>
      <c r="D33" s="11">
        <v>98.0</v>
      </c>
      <c r="E33" s="8">
        <v>6.0</v>
      </c>
      <c r="F33" s="11">
        <v>123416.0</v>
      </c>
      <c r="G33" s="10" t="s">
        <v>19</v>
      </c>
      <c r="H33" s="9" t="s">
        <v>85</v>
      </c>
      <c r="I33" s="9"/>
      <c r="J33" s="16" t="s">
        <v>26</v>
      </c>
      <c r="K33" s="16" t="s">
        <v>26</v>
      </c>
    </row>
    <row r="34" ht="15.75" customHeight="1">
      <c r="A34" s="8">
        <v>33.0</v>
      </c>
      <c r="B34" s="9" t="s">
        <v>125</v>
      </c>
      <c r="C34" s="10" t="s">
        <v>126</v>
      </c>
      <c r="D34" s="11">
        <v>582.0</v>
      </c>
      <c r="E34" s="8">
        <v>3.0</v>
      </c>
      <c r="F34" s="11">
        <v>118787.0</v>
      </c>
      <c r="G34" s="10" t="s">
        <v>19</v>
      </c>
      <c r="H34" s="9" t="s">
        <v>127</v>
      </c>
      <c r="I34" s="9"/>
      <c r="J34" s="16" t="s">
        <v>26</v>
      </c>
      <c r="K34" s="16" t="s">
        <v>26</v>
      </c>
    </row>
    <row r="35" ht="15.75" customHeight="1">
      <c r="A35" s="8">
        <v>34.0</v>
      </c>
      <c r="B35" s="9" t="s">
        <v>129</v>
      </c>
      <c r="C35" s="10" t="s">
        <v>130</v>
      </c>
      <c r="D35" s="11">
        <v>263.0</v>
      </c>
      <c r="E35" s="8">
        <v>6.0</v>
      </c>
      <c r="F35" s="11">
        <v>117042.0</v>
      </c>
      <c r="G35" s="10" t="s">
        <v>19</v>
      </c>
      <c r="H35" s="9" t="s">
        <v>131</v>
      </c>
      <c r="I35" s="9"/>
      <c r="J35" s="16" t="s">
        <v>26</v>
      </c>
      <c r="K35" s="16" t="s">
        <v>26</v>
      </c>
    </row>
    <row r="36" ht="15.75" customHeight="1">
      <c r="A36" s="8">
        <v>35.0</v>
      </c>
      <c r="B36" s="9" t="s">
        <v>133</v>
      </c>
      <c r="C36" s="10" t="s">
        <v>134</v>
      </c>
      <c r="D36" s="11">
        <v>4010.0</v>
      </c>
      <c r="E36" s="8">
        <v>3.0</v>
      </c>
      <c r="F36" s="11">
        <v>115430.0</v>
      </c>
      <c r="G36" s="10" t="s">
        <v>19</v>
      </c>
      <c r="H36" s="9" t="s">
        <v>32</v>
      </c>
      <c r="I36" s="9"/>
      <c r="J36" s="16" t="s">
        <v>26</v>
      </c>
      <c r="K36" s="16" t="s">
        <v>26</v>
      </c>
    </row>
    <row r="37" ht="15.75" customHeight="1">
      <c r="A37" s="8">
        <v>36.0</v>
      </c>
      <c r="B37" s="9" t="s">
        <v>136</v>
      </c>
      <c r="C37" s="10" t="s">
        <v>138</v>
      </c>
      <c r="D37" s="11">
        <v>3243.0</v>
      </c>
      <c r="E37" s="8">
        <v>4.0</v>
      </c>
      <c r="F37" s="11">
        <v>114480.0</v>
      </c>
      <c r="G37" s="10" t="s">
        <v>19</v>
      </c>
      <c r="H37" s="9" t="s">
        <v>32</v>
      </c>
      <c r="I37" s="9"/>
      <c r="J37" s="16" t="s">
        <v>26</v>
      </c>
      <c r="K37" s="16" t="s">
        <v>26</v>
      </c>
    </row>
    <row r="38" ht="15.75" customHeight="1">
      <c r="A38" s="8">
        <v>37.0</v>
      </c>
      <c r="B38" s="9" t="s">
        <v>140</v>
      </c>
      <c r="C38" s="10" t="s">
        <v>141</v>
      </c>
      <c r="D38" s="11">
        <v>10106.0</v>
      </c>
      <c r="E38" s="8">
        <v>3.0</v>
      </c>
      <c r="F38" s="11">
        <v>112987.0</v>
      </c>
      <c r="G38" s="10" t="s">
        <v>19</v>
      </c>
      <c r="H38" s="9" t="s">
        <v>32</v>
      </c>
      <c r="I38" s="9"/>
      <c r="J38" s="16" t="s">
        <v>26</v>
      </c>
      <c r="K38" s="16" t="s">
        <v>26</v>
      </c>
    </row>
    <row r="39" ht="15.75" customHeight="1">
      <c r="A39" s="8">
        <v>38.0</v>
      </c>
      <c r="B39" s="9" t="s">
        <v>143</v>
      </c>
      <c r="C39" s="10" t="s">
        <v>144</v>
      </c>
      <c r="D39" s="11">
        <v>3623.0</v>
      </c>
      <c r="E39" s="8">
        <v>2.0</v>
      </c>
      <c r="F39" s="11">
        <v>112463.0</v>
      </c>
      <c r="G39" s="10" t="s">
        <v>19</v>
      </c>
      <c r="H39" s="9" t="s">
        <v>21</v>
      </c>
      <c r="I39" s="9"/>
      <c r="J39" s="16" t="s">
        <v>26</v>
      </c>
      <c r="K39" s="16" t="s">
        <v>26</v>
      </c>
    </row>
    <row r="40" ht="15.75" customHeight="1">
      <c r="A40" s="8">
        <v>39.0</v>
      </c>
      <c r="B40" s="9" t="s">
        <v>145</v>
      </c>
      <c r="C40" s="10" t="s">
        <v>147</v>
      </c>
      <c r="D40" s="11">
        <v>3963.0</v>
      </c>
      <c r="E40" s="8">
        <v>6.0</v>
      </c>
      <c r="F40" s="11">
        <v>112202.0</v>
      </c>
      <c r="G40" s="10" t="s">
        <v>19</v>
      </c>
      <c r="H40" s="9" t="s">
        <v>85</v>
      </c>
      <c r="I40" s="9"/>
      <c r="J40" s="16" t="s">
        <v>26</v>
      </c>
      <c r="K40" s="16" t="s">
        <v>26</v>
      </c>
    </row>
    <row r="41" ht="15.75" customHeight="1">
      <c r="A41" s="8">
        <v>40.0</v>
      </c>
      <c r="B41" s="9" t="s">
        <v>148</v>
      </c>
      <c r="C41" s="10" t="s">
        <v>149</v>
      </c>
      <c r="D41" s="11">
        <v>1757.0</v>
      </c>
      <c r="E41" s="8">
        <v>5.0</v>
      </c>
      <c r="F41" s="11">
        <v>106904.0</v>
      </c>
      <c r="G41" s="10" t="s">
        <v>19</v>
      </c>
      <c r="H41" s="9" t="s">
        <v>32</v>
      </c>
      <c r="I41" s="9"/>
      <c r="J41" s="16" t="s">
        <v>26</v>
      </c>
      <c r="K41" s="16" t="s">
        <v>26</v>
      </c>
    </row>
    <row r="42" ht="15.75" customHeight="1">
      <c r="A42" s="8">
        <v>41.0</v>
      </c>
      <c r="B42" s="9" t="s">
        <v>151</v>
      </c>
      <c r="C42" s="10" t="s">
        <v>152</v>
      </c>
      <c r="D42" s="11">
        <v>4300.0</v>
      </c>
      <c r="E42" s="8">
        <v>3.0</v>
      </c>
      <c r="F42" s="11">
        <v>106123.0</v>
      </c>
      <c r="G42" s="10" t="s">
        <v>19</v>
      </c>
      <c r="H42" s="9" t="s">
        <v>32</v>
      </c>
      <c r="I42" s="9"/>
      <c r="J42" s="16" t="s">
        <v>26</v>
      </c>
      <c r="K42" s="16" t="s">
        <v>26</v>
      </c>
    </row>
    <row r="43" ht="15.75" customHeight="1">
      <c r="A43" s="8">
        <v>42.0</v>
      </c>
      <c r="B43" s="9" t="s">
        <v>154</v>
      </c>
      <c r="C43" s="10" t="s">
        <v>155</v>
      </c>
      <c r="D43" s="11">
        <v>189.0</v>
      </c>
      <c r="E43" s="8">
        <v>6.0</v>
      </c>
      <c r="F43" s="11">
        <v>105976.0</v>
      </c>
      <c r="G43" s="10" t="s">
        <v>19</v>
      </c>
      <c r="H43" s="9" t="s">
        <v>32</v>
      </c>
      <c r="I43" s="9"/>
      <c r="J43" s="16" t="s">
        <v>26</v>
      </c>
      <c r="K43" s="16" t="s">
        <v>26</v>
      </c>
    </row>
    <row r="44" ht="15.75" customHeight="1">
      <c r="A44" s="8">
        <v>43.0</v>
      </c>
      <c r="B44" s="9" t="s">
        <v>157</v>
      </c>
      <c r="C44" s="10" t="s">
        <v>158</v>
      </c>
      <c r="D44" s="11">
        <v>2012.0</v>
      </c>
      <c r="E44" s="8">
        <v>3.0</v>
      </c>
      <c r="F44" s="11">
        <v>102513.0</v>
      </c>
      <c r="G44" s="10" t="s">
        <v>19</v>
      </c>
      <c r="H44" s="9" t="s">
        <v>32</v>
      </c>
      <c r="I44" s="9"/>
      <c r="J44" s="16" t="s">
        <v>26</v>
      </c>
      <c r="K44" s="16" t="s">
        <v>26</v>
      </c>
    </row>
    <row r="45" ht="15.75" customHeight="1">
      <c r="A45" s="8">
        <v>44.0</v>
      </c>
      <c r="B45" s="9" t="s">
        <v>160</v>
      </c>
      <c r="C45" s="10" t="s">
        <v>161</v>
      </c>
      <c r="D45" s="11">
        <v>849.0</v>
      </c>
      <c r="E45" s="8">
        <v>4.0</v>
      </c>
      <c r="F45" s="11">
        <v>101388.0</v>
      </c>
      <c r="G45" s="10" t="s">
        <v>19</v>
      </c>
      <c r="H45" s="9" t="s">
        <v>85</v>
      </c>
      <c r="I45" s="9"/>
      <c r="J45" s="16" t="s">
        <v>26</v>
      </c>
      <c r="K45" s="16" t="s">
        <v>26</v>
      </c>
    </row>
    <row r="46" ht="15.75" customHeight="1">
      <c r="A46" s="8">
        <v>45.0</v>
      </c>
      <c r="B46" s="9" t="s">
        <v>163</v>
      </c>
      <c r="C46" s="10" t="s">
        <v>164</v>
      </c>
      <c r="D46" s="11">
        <v>2959.0</v>
      </c>
      <c r="E46" s="8">
        <v>4.0</v>
      </c>
      <c r="F46" s="11">
        <v>101385.0</v>
      </c>
      <c r="G46" s="10" t="s">
        <v>19</v>
      </c>
      <c r="H46" s="9" t="s">
        <v>85</v>
      </c>
      <c r="I46" s="9"/>
      <c r="J46" s="16" t="s">
        <v>26</v>
      </c>
      <c r="K46" s="16" t="s">
        <v>26</v>
      </c>
    </row>
    <row r="47" ht="15.75" customHeight="1">
      <c r="A47" s="8">
        <v>46.0</v>
      </c>
      <c r="B47" s="9" t="s">
        <v>166</v>
      </c>
      <c r="C47" s="10" t="s">
        <v>167</v>
      </c>
      <c r="D47" s="11">
        <v>1305.0</v>
      </c>
      <c r="E47" s="8">
        <v>5.0</v>
      </c>
      <c r="F47" s="11">
        <v>101188.0</v>
      </c>
      <c r="G47" s="10" t="s">
        <v>19</v>
      </c>
      <c r="H47" s="9" t="s">
        <v>32</v>
      </c>
      <c r="I47" s="9"/>
      <c r="J47" s="16" t="s">
        <v>26</v>
      </c>
      <c r="K47" s="16" t="s">
        <v>26</v>
      </c>
    </row>
    <row r="48" ht="15.75" customHeight="1">
      <c r="A48" s="8">
        <v>47.0</v>
      </c>
      <c r="B48" s="9" t="s">
        <v>168</v>
      </c>
      <c r="C48" s="10" t="s">
        <v>169</v>
      </c>
      <c r="D48" s="11">
        <v>82.0</v>
      </c>
      <c r="E48" s="8">
        <v>3.0</v>
      </c>
      <c r="F48" s="11">
        <v>100213.0</v>
      </c>
      <c r="G48" s="10" t="s">
        <v>19</v>
      </c>
      <c r="H48" s="9" t="s">
        <v>170</v>
      </c>
      <c r="I48" s="9"/>
      <c r="J48" s="16" t="s">
        <v>26</v>
      </c>
      <c r="K48" s="16" t="s">
        <v>26</v>
      </c>
    </row>
    <row r="49" ht="15.75" customHeight="1">
      <c r="A49" s="8">
        <v>48.0</v>
      </c>
      <c r="B49" s="9" t="s">
        <v>171</v>
      </c>
      <c r="C49" s="10" t="s">
        <v>172</v>
      </c>
      <c r="D49" s="11">
        <v>161.0</v>
      </c>
      <c r="E49" s="8">
        <v>6.0</v>
      </c>
      <c r="F49" s="11">
        <v>95147.0</v>
      </c>
      <c r="G49" s="10" t="s">
        <v>19</v>
      </c>
      <c r="H49" s="9" t="s">
        <v>174</v>
      </c>
      <c r="I49" s="9"/>
      <c r="J49" s="16" t="s">
        <v>26</v>
      </c>
      <c r="K49" s="16" t="s">
        <v>26</v>
      </c>
    </row>
    <row r="50" ht="15.75" customHeight="1">
      <c r="A50" s="8">
        <v>49.0</v>
      </c>
      <c r="B50" s="9" t="s">
        <v>175</v>
      </c>
      <c r="C50" s="10" t="s">
        <v>176</v>
      </c>
      <c r="D50" s="11">
        <v>440.0</v>
      </c>
      <c r="E50" s="8">
        <v>6.0</v>
      </c>
      <c r="F50" s="11">
        <v>94709.0</v>
      </c>
      <c r="G50" s="10" t="s">
        <v>19</v>
      </c>
      <c r="H50" s="9" t="s">
        <v>21</v>
      </c>
      <c r="I50" s="9"/>
      <c r="J50" s="16" t="s">
        <v>26</v>
      </c>
      <c r="K50" s="16" t="s">
        <v>26</v>
      </c>
    </row>
    <row r="51" ht="15.75" customHeight="1">
      <c r="A51" s="8">
        <v>50.0</v>
      </c>
      <c r="B51" s="9" t="s">
        <v>178</v>
      </c>
      <c r="C51" s="10" t="s">
        <v>179</v>
      </c>
      <c r="D51" s="11">
        <v>68.0</v>
      </c>
      <c r="E51" s="8">
        <v>6.0</v>
      </c>
      <c r="F51" s="11">
        <v>91453.0</v>
      </c>
      <c r="G51" s="10" t="s">
        <v>19</v>
      </c>
      <c r="H51" s="9" t="s">
        <v>21</v>
      </c>
      <c r="I51" s="9"/>
      <c r="J51" s="16" t="s">
        <v>26</v>
      </c>
      <c r="K51" s="16" t="s">
        <v>26</v>
      </c>
    </row>
    <row r="52" ht="15.75" customHeight="1">
      <c r="A52" s="8">
        <v>51.0</v>
      </c>
      <c r="B52" s="9" t="s">
        <v>181</v>
      </c>
      <c r="C52" s="10" t="s">
        <v>182</v>
      </c>
      <c r="D52" s="11">
        <v>2061.0</v>
      </c>
      <c r="E52" s="8">
        <v>5.0</v>
      </c>
      <c r="F52" s="11">
        <v>89735.0</v>
      </c>
      <c r="G52" s="10" t="s">
        <v>19</v>
      </c>
      <c r="H52" s="9" t="s">
        <v>32</v>
      </c>
      <c r="I52" s="9"/>
      <c r="J52" s="16" t="s">
        <v>26</v>
      </c>
      <c r="K52" s="16" t="s">
        <v>26</v>
      </c>
    </row>
    <row r="53" ht="15.75" customHeight="1">
      <c r="A53" s="8">
        <v>52.0</v>
      </c>
      <c r="B53" s="9" t="s">
        <v>184</v>
      </c>
      <c r="C53" s="10" t="s">
        <v>185</v>
      </c>
      <c r="D53" s="11">
        <v>7128.0</v>
      </c>
      <c r="E53" s="8">
        <v>4.0</v>
      </c>
      <c r="F53" s="11">
        <v>87883.0</v>
      </c>
      <c r="G53" s="10" t="s">
        <v>19</v>
      </c>
      <c r="H53" s="9" t="s">
        <v>186</v>
      </c>
      <c r="I53" s="9"/>
      <c r="J53" s="16" t="s">
        <v>26</v>
      </c>
      <c r="K53" s="16" t="s">
        <v>26</v>
      </c>
    </row>
    <row r="54" ht="15.75" customHeight="1">
      <c r="A54" s="8">
        <v>53.0</v>
      </c>
      <c r="B54" s="9" t="s">
        <v>188</v>
      </c>
      <c r="C54" s="10" t="s">
        <v>189</v>
      </c>
      <c r="D54" s="11">
        <v>12918.0</v>
      </c>
      <c r="E54" s="8">
        <v>5.0</v>
      </c>
      <c r="F54" s="11">
        <v>86446.0</v>
      </c>
      <c r="G54" s="10" t="s">
        <v>19</v>
      </c>
      <c r="H54" s="9" t="s">
        <v>190</v>
      </c>
      <c r="I54" s="9"/>
      <c r="J54" s="16" t="s">
        <v>26</v>
      </c>
      <c r="K54" s="16" t="s">
        <v>26</v>
      </c>
    </row>
    <row r="55" ht="15.75" customHeight="1">
      <c r="A55" s="8">
        <v>54.0</v>
      </c>
      <c r="B55" s="9" t="s">
        <v>192</v>
      </c>
      <c r="C55" s="10" t="s">
        <v>193</v>
      </c>
      <c r="D55" s="11">
        <v>206.0</v>
      </c>
      <c r="E55" s="8">
        <v>6.0</v>
      </c>
      <c r="F55" s="11">
        <v>84843.0</v>
      </c>
      <c r="G55" s="10" t="s">
        <v>19</v>
      </c>
      <c r="H55" s="9" t="s">
        <v>51</v>
      </c>
      <c r="I55" s="9"/>
      <c r="J55" s="16" t="s">
        <v>26</v>
      </c>
      <c r="K55" s="16" t="s">
        <v>26</v>
      </c>
    </row>
    <row r="56" ht="15.75" customHeight="1">
      <c r="A56" s="8">
        <v>55.0</v>
      </c>
      <c r="B56" s="9" t="s">
        <v>195</v>
      </c>
      <c r="C56" s="10" t="s">
        <v>196</v>
      </c>
      <c r="D56" s="11">
        <v>65.0</v>
      </c>
      <c r="E56" s="8">
        <v>4.0</v>
      </c>
      <c r="F56" s="11">
        <v>83030.0</v>
      </c>
      <c r="G56" s="10" t="s">
        <v>19</v>
      </c>
      <c r="H56" s="9" t="s">
        <v>21</v>
      </c>
      <c r="I56" s="9"/>
      <c r="J56" s="16" t="s">
        <v>26</v>
      </c>
      <c r="K56" s="16" t="s">
        <v>26</v>
      </c>
    </row>
    <row r="57" ht="15.75" customHeight="1">
      <c r="A57" s="8">
        <v>56.0</v>
      </c>
      <c r="B57" s="9" t="s">
        <v>198</v>
      </c>
      <c r="C57" s="10" t="s">
        <v>199</v>
      </c>
      <c r="D57" s="11">
        <v>1583.0</v>
      </c>
      <c r="E57" s="8">
        <v>5.0</v>
      </c>
      <c r="F57" s="11">
        <v>81485.0</v>
      </c>
      <c r="G57" s="10" t="s">
        <v>19</v>
      </c>
      <c r="H57" s="9" t="s">
        <v>38</v>
      </c>
      <c r="I57" s="9"/>
      <c r="J57" s="16" t="s">
        <v>26</v>
      </c>
      <c r="K57" s="16" t="s">
        <v>26</v>
      </c>
    </row>
    <row r="58" ht="15.75" customHeight="1">
      <c r="A58" s="8">
        <v>57.0</v>
      </c>
      <c r="B58" s="9" t="s">
        <v>201</v>
      </c>
      <c r="C58" s="10" t="s">
        <v>202</v>
      </c>
      <c r="D58" s="11">
        <v>1239.0</v>
      </c>
      <c r="E58" s="8">
        <v>6.0</v>
      </c>
      <c r="F58" s="11">
        <v>80807.0</v>
      </c>
      <c r="G58" s="10" t="s">
        <v>19</v>
      </c>
      <c r="H58" s="9" t="s">
        <v>46</v>
      </c>
      <c r="I58" s="9"/>
      <c r="J58" s="16" t="s">
        <v>26</v>
      </c>
      <c r="K58" s="16" t="s">
        <v>26</v>
      </c>
    </row>
    <row r="59" ht="15.75" customHeight="1">
      <c r="A59" s="8">
        <v>58.0</v>
      </c>
      <c r="B59" s="9" t="s">
        <v>204</v>
      </c>
      <c r="C59" s="10" t="s">
        <v>205</v>
      </c>
      <c r="D59" s="11">
        <v>1591.0</v>
      </c>
      <c r="E59" s="8">
        <v>6.0</v>
      </c>
      <c r="F59" s="11">
        <v>76025.0</v>
      </c>
      <c r="G59" s="10" t="s">
        <v>19</v>
      </c>
      <c r="H59" s="9" t="s">
        <v>127</v>
      </c>
      <c r="I59" s="9"/>
      <c r="J59" s="16" t="s">
        <v>26</v>
      </c>
      <c r="K59" s="16" t="s">
        <v>26</v>
      </c>
    </row>
    <row r="60" ht="15.75" customHeight="1">
      <c r="A60" s="8">
        <v>59.0</v>
      </c>
      <c r="B60" s="9" t="s">
        <v>206</v>
      </c>
      <c r="C60" s="10" t="s">
        <v>207</v>
      </c>
      <c r="D60" s="11">
        <v>2930.0</v>
      </c>
      <c r="E60" s="8">
        <v>5.0</v>
      </c>
      <c r="F60" s="11">
        <v>75874.0</v>
      </c>
      <c r="G60" s="10" t="s">
        <v>19</v>
      </c>
      <c r="H60" s="9" t="s">
        <v>21</v>
      </c>
      <c r="I60" s="9"/>
      <c r="J60" s="16" t="s">
        <v>26</v>
      </c>
      <c r="K60" s="16" t="s">
        <v>26</v>
      </c>
    </row>
    <row r="61" ht="15.75" customHeight="1">
      <c r="A61" s="8">
        <v>60.0</v>
      </c>
      <c r="B61" s="9" t="s">
        <v>209</v>
      </c>
      <c r="C61" s="10" t="s">
        <v>210</v>
      </c>
      <c r="D61" s="11">
        <v>421.0</v>
      </c>
      <c r="E61" s="8">
        <v>4.0</v>
      </c>
      <c r="F61" s="11">
        <v>75414.0</v>
      </c>
      <c r="G61" s="10" t="s">
        <v>19</v>
      </c>
      <c r="H61" s="9" t="s">
        <v>32</v>
      </c>
      <c r="I61" s="9"/>
      <c r="J61" s="16" t="s">
        <v>26</v>
      </c>
      <c r="K61" s="16" t="s">
        <v>26</v>
      </c>
    </row>
    <row r="62" ht="15.75" customHeight="1">
      <c r="A62" s="8">
        <v>61.0</v>
      </c>
      <c r="B62" s="9" t="s">
        <v>212</v>
      </c>
      <c r="C62" s="10" t="s">
        <v>213</v>
      </c>
      <c r="D62" s="11">
        <v>348.0</v>
      </c>
      <c r="E62" s="8">
        <v>6.0</v>
      </c>
      <c r="F62" s="11">
        <v>75132.0</v>
      </c>
      <c r="G62" s="10" t="s">
        <v>19</v>
      </c>
      <c r="H62" s="9" t="s">
        <v>214</v>
      </c>
      <c r="I62" s="9"/>
      <c r="J62" s="16" t="s">
        <v>26</v>
      </c>
      <c r="K62" s="16" t="s">
        <v>26</v>
      </c>
    </row>
    <row r="63" ht="15.75" customHeight="1">
      <c r="A63" s="8">
        <v>62.0</v>
      </c>
      <c r="B63" s="9" t="s">
        <v>216</v>
      </c>
      <c r="C63" s="10" t="s">
        <v>217</v>
      </c>
      <c r="D63" s="11">
        <v>1631.0</v>
      </c>
      <c r="E63" s="8">
        <v>6.0</v>
      </c>
      <c r="F63" s="11">
        <v>73811.0</v>
      </c>
      <c r="G63" s="10" t="s">
        <v>19</v>
      </c>
      <c r="H63" s="9" t="s">
        <v>218</v>
      </c>
      <c r="I63" s="9"/>
      <c r="J63" s="16" t="s">
        <v>26</v>
      </c>
      <c r="K63" s="16" t="s">
        <v>26</v>
      </c>
    </row>
    <row r="64" ht="15.75" customHeight="1">
      <c r="A64" s="8">
        <v>63.0</v>
      </c>
      <c r="B64" s="9" t="s">
        <v>220</v>
      </c>
      <c r="C64" s="10" t="s">
        <v>221</v>
      </c>
      <c r="D64" s="11">
        <v>232.0</v>
      </c>
      <c r="E64" s="8">
        <v>6.0</v>
      </c>
      <c r="F64" s="11">
        <v>73655.0</v>
      </c>
      <c r="G64" s="10" t="s">
        <v>19</v>
      </c>
      <c r="H64" s="9" t="s">
        <v>116</v>
      </c>
      <c r="I64" s="9"/>
      <c r="J64" s="16" t="s">
        <v>26</v>
      </c>
      <c r="K64" s="16" t="s">
        <v>26</v>
      </c>
    </row>
    <row r="65" ht="15.75" customHeight="1">
      <c r="A65" s="8">
        <v>64.0</v>
      </c>
      <c r="B65" s="9" t="s">
        <v>223</v>
      </c>
      <c r="C65" s="10" t="s">
        <v>224</v>
      </c>
      <c r="D65" s="11">
        <v>5120.0</v>
      </c>
      <c r="E65" s="8">
        <v>5.0</v>
      </c>
      <c r="F65" s="11">
        <v>72238.0</v>
      </c>
      <c r="G65" s="10" t="s">
        <v>19</v>
      </c>
      <c r="H65" s="9" t="s">
        <v>32</v>
      </c>
      <c r="I65" s="9"/>
      <c r="J65" s="16" t="s">
        <v>26</v>
      </c>
      <c r="K65" s="16" t="s">
        <v>26</v>
      </c>
    </row>
    <row r="66" ht="15.75" customHeight="1">
      <c r="A66" s="8">
        <v>65.0</v>
      </c>
      <c r="B66" s="9" t="s">
        <v>225</v>
      </c>
      <c r="C66" s="10" t="s">
        <v>226</v>
      </c>
      <c r="D66" s="11">
        <v>728.0</v>
      </c>
      <c r="E66" s="8">
        <v>6.0</v>
      </c>
      <c r="F66" s="11">
        <v>70775.0</v>
      </c>
      <c r="G66" s="10" t="s">
        <v>19</v>
      </c>
      <c r="H66" s="9" t="s">
        <v>227</v>
      </c>
      <c r="I66" s="9"/>
      <c r="J66" s="16" t="s">
        <v>26</v>
      </c>
      <c r="K66" s="16" t="s">
        <v>26</v>
      </c>
    </row>
    <row r="67" ht="15.75" customHeight="1">
      <c r="A67" s="8">
        <v>66.0</v>
      </c>
      <c r="B67" s="23" t="s">
        <v>229</v>
      </c>
      <c r="C67" s="10" t="s">
        <v>230</v>
      </c>
      <c r="D67" s="11">
        <v>12078.0</v>
      </c>
      <c r="E67" s="8">
        <v>6.0</v>
      </c>
      <c r="F67" s="11">
        <v>70712.0</v>
      </c>
      <c r="G67" s="10" t="s">
        <v>19</v>
      </c>
      <c r="H67" s="9" t="s">
        <v>231</v>
      </c>
      <c r="I67" s="9"/>
      <c r="J67" s="16" t="s">
        <v>26</v>
      </c>
      <c r="K67" s="16" t="s">
        <v>26</v>
      </c>
    </row>
    <row r="68" ht="15.75" customHeight="1">
      <c r="A68" s="8">
        <v>67.0</v>
      </c>
      <c r="B68" s="9" t="s">
        <v>233</v>
      </c>
      <c r="C68" s="10" t="s">
        <v>234</v>
      </c>
      <c r="D68" s="11">
        <v>5396.0</v>
      </c>
      <c r="E68" s="8">
        <v>5.0</v>
      </c>
      <c r="F68" s="11">
        <v>70089.0</v>
      </c>
      <c r="G68" s="10" t="s">
        <v>19</v>
      </c>
      <c r="H68" s="9" t="s">
        <v>32</v>
      </c>
      <c r="I68" s="9" t="s">
        <v>235</v>
      </c>
      <c r="J68" s="16" t="s">
        <v>26</v>
      </c>
      <c r="K68" s="16" t="s">
        <v>26</v>
      </c>
    </row>
    <row r="69" ht="15.75" customHeight="1">
      <c r="A69" s="8">
        <v>68.0</v>
      </c>
      <c r="B69" s="9" t="s">
        <v>236</v>
      </c>
      <c r="C69" s="10" t="s">
        <v>237</v>
      </c>
      <c r="D69" s="11">
        <v>4926.0</v>
      </c>
      <c r="E69" s="8">
        <v>4.0</v>
      </c>
      <c r="F69" s="11">
        <v>68754.0</v>
      </c>
      <c r="G69" s="10" t="s">
        <v>19</v>
      </c>
      <c r="H69" s="9" t="s">
        <v>32</v>
      </c>
      <c r="I69" s="9" t="s">
        <v>238</v>
      </c>
      <c r="J69" s="16" t="s">
        <v>26</v>
      </c>
      <c r="K69" s="16" t="s">
        <v>26</v>
      </c>
    </row>
    <row r="70" ht="15.75" customHeight="1">
      <c r="A70" s="8">
        <v>69.0</v>
      </c>
      <c r="B70" s="9" t="s">
        <v>239</v>
      </c>
      <c r="C70" s="10" t="s">
        <v>240</v>
      </c>
      <c r="D70" s="11">
        <v>2626.0</v>
      </c>
      <c r="E70" s="8">
        <v>5.0</v>
      </c>
      <c r="F70" s="11">
        <v>68473.0</v>
      </c>
      <c r="G70" s="10" t="s">
        <v>19</v>
      </c>
      <c r="H70" s="9" t="s">
        <v>242</v>
      </c>
      <c r="I70" s="9" t="s">
        <v>238</v>
      </c>
      <c r="J70" s="16" t="s">
        <v>26</v>
      </c>
      <c r="K70" s="16" t="s">
        <v>26</v>
      </c>
    </row>
    <row r="71" ht="15.75" customHeight="1">
      <c r="A71" s="8">
        <v>70.0</v>
      </c>
      <c r="B71" s="9" t="s">
        <v>243</v>
      </c>
      <c r="C71" s="10" t="s">
        <v>244</v>
      </c>
      <c r="D71" s="11">
        <v>13.0</v>
      </c>
      <c r="E71" s="8">
        <v>6.0</v>
      </c>
      <c r="F71" s="11">
        <v>67299.0</v>
      </c>
      <c r="G71" s="10" t="s">
        <v>19</v>
      </c>
      <c r="H71" s="9" t="s">
        <v>46</v>
      </c>
      <c r="I71" s="9" t="s">
        <v>238</v>
      </c>
      <c r="J71" s="16" t="s">
        <v>26</v>
      </c>
      <c r="K71" s="16" t="s">
        <v>26</v>
      </c>
    </row>
    <row r="72" ht="15.75" customHeight="1">
      <c r="A72" s="8">
        <v>71.0</v>
      </c>
      <c r="B72" s="9" t="s">
        <v>246</v>
      </c>
      <c r="C72" s="10" t="s">
        <v>247</v>
      </c>
      <c r="D72" s="11">
        <v>35.0</v>
      </c>
      <c r="E72" s="8">
        <v>4.0</v>
      </c>
      <c r="F72" s="11">
        <v>66367.0</v>
      </c>
      <c r="G72" s="10" t="s">
        <v>19</v>
      </c>
      <c r="H72" s="9" t="s">
        <v>21</v>
      </c>
      <c r="I72" s="9" t="s">
        <v>238</v>
      </c>
      <c r="J72" s="16" t="s">
        <v>26</v>
      </c>
      <c r="K72" s="16" t="s">
        <v>26</v>
      </c>
    </row>
    <row r="73" ht="15.75" customHeight="1">
      <c r="A73" s="8">
        <v>72.0</v>
      </c>
      <c r="B73" s="9" t="s">
        <v>249</v>
      </c>
      <c r="C73" s="10" t="s">
        <v>250</v>
      </c>
      <c r="D73" s="11">
        <v>1525.0</v>
      </c>
      <c r="E73" s="8">
        <v>6.0</v>
      </c>
      <c r="F73" s="11">
        <v>65314.0</v>
      </c>
      <c r="G73" s="10" t="s">
        <v>19</v>
      </c>
      <c r="H73" s="9" t="s">
        <v>251</v>
      </c>
      <c r="I73" s="9" t="s">
        <v>238</v>
      </c>
      <c r="J73" s="16" t="s">
        <v>26</v>
      </c>
      <c r="K73" s="16" t="s">
        <v>26</v>
      </c>
    </row>
    <row r="74" ht="15.75" customHeight="1">
      <c r="A74" s="8">
        <v>73.0</v>
      </c>
      <c r="B74" s="9" t="s">
        <v>253</v>
      </c>
      <c r="C74" s="10" t="s">
        <v>254</v>
      </c>
      <c r="D74" s="11">
        <v>23.0</v>
      </c>
      <c r="E74" s="8">
        <v>6.0</v>
      </c>
      <c r="F74" s="11">
        <v>64556.0</v>
      </c>
      <c r="G74" s="10" t="s">
        <v>19</v>
      </c>
      <c r="H74" s="9" t="s">
        <v>85</v>
      </c>
      <c r="I74" s="9"/>
      <c r="J74" s="16" t="s">
        <v>26</v>
      </c>
      <c r="K74" s="16" t="s">
        <v>26</v>
      </c>
    </row>
    <row r="75" ht="15.75" customHeight="1">
      <c r="A75" s="8">
        <v>74.0</v>
      </c>
      <c r="B75" s="9" t="s">
        <v>256</v>
      </c>
      <c r="C75" s="10" t="s">
        <v>257</v>
      </c>
      <c r="D75" s="11">
        <v>547.0</v>
      </c>
      <c r="E75" s="8">
        <v>5.0</v>
      </c>
      <c r="F75" s="11">
        <v>64384.0</v>
      </c>
      <c r="G75" s="10" t="s">
        <v>19</v>
      </c>
      <c r="H75" s="9" t="s">
        <v>32</v>
      </c>
      <c r="I75" s="9" t="s">
        <v>258</v>
      </c>
      <c r="J75" s="16" t="s">
        <v>26</v>
      </c>
      <c r="K75" s="16" t="s">
        <v>26</v>
      </c>
    </row>
    <row r="76" ht="15.75" customHeight="1">
      <c r="A76" s="8">
        <v>75.0</v>
      </c>
      <c r="B76" s="9" t="s">
        <v>260</v>
      </c>
      <c r="C76" s="10" t="s">
        <v>261</v>
      </c>
      <c r="D76" s="11">
        <v>1153.0</v>
      </c>
      <c r="E76" s="8">
        <v>6.0</v>
      </c>
      <c r="F76" s="11">
        <v>64383.0</v>
      </c>
      <c r="G76" s="10" t="s">
        <v>19</v>
      </c>
      <c r="H76" s="9" t="s">
        <v>32</v>
      </c>
      <c r="I76" s="9"/>
      <c r="J76" s="16" t="s">
        <v>26</v>
      </c>
      <c r="K76" s="16" t="s">
        <v>26</v>
      </c>
    </row>
    <row r="77" ht="15.75" customHeight="1">
      <c r="A77" s="8">
        <v>76.0</v>
      </c>
      <c r="B77" s="9" t="s">
        <v>263</v>
      </c>
      <c r="C77" s="10" t="s">
        <v>264</v>
      </c>
      <c r="D77" s="11">
        <v>261.0</v>
      </c>
      <c r="E77" s="8">
        <v>6.0</v>
      </c>
      <c r="F77" s="11">
        <v>64374.0</v>
      </c>
      <c r="G77" s="10" t="s">
        <v>19</v>
      </c>
      <c r="H77" s="9" t="s">
        <v>214</v>
      </c>
      <c r="I77" s="9"/>
      <c r="J77" s="16" t="s">
        <v>26</v>
      </c>
      <c r="K77" s="16" t="s">
        <v>26</v>
      </c>
    </row>
    <row r="78" ht="15.75" customHeight="1">
      <c r="A78" s="8">
        <v>77.0</v>
      </c>
      <c r="B78" s="9" t="s">
        <v>266</v>
      </c>
      <c r="C78" s="10" t="s">
        <v>267</v>
      </c>
      <c r="D78" s="11">
        <v>2414.0</v>
      </c>
      <c r="E78" s="8">
        <v>2.0</v>
      </c>
      <c r="F78" s="11">
        <v>62596.0</v>
      </c>
      <c r="G78" s="10" t="s">
        <v>19</v>
      </c>
      <c r="H78" s="9" t="s">
        <v>21</v>
      </c>
      <c r="I78" s="9"/>
      <c r="J78" s="16" t="s">
        <v>26</v>
      </c>
      <c r="K78" s="16" t="s">
        <v>26</v>
      </c>
    </row>
    <row r="79" ht="15.75" customHeight="1">
      <c r="A79" s="8">
        <v>78.0</v>
      </c>
      <c r="B79" s="9" t="s">
        <v>268</v>
      </c>
      <c r="C79" s="10" t="s">
        <v>269</v>
      </c>
      <c r="D79" s="11">
        <v>950.0</v>
      </c>
      <c r="E79" s="8">
        <v>3.0</v>
      </c>
      <c r="F79" s="11">
        <v>62308.0</v>
      </c>
      <c r="G79" s="10" t="s">
        <v>19</v>
      </c>
      <c r="H79" s="9" t="s">
        <v>21</v>
      </c>
      <c r="I79" s="9"/>
      <c r="J79" s="16" t="s">
        <v>26</v>
      </c>
      <c r="K79" s="16" t="s">
        <v>26</v>
      </c>
    </row>
    <row r="80" ht="15.75" customHeight="1">
      <c r="A80" s="8">
        <v>79.0</v>
      </c>
      <c r="B80" s="9" t="s">
        <v>270</v>
      </c>
      <c r="C80" s="10" t="s">
        <v>271</v>
      </c>
      <c r="D80" s="11">
        <v>191.0</v>
      </c>
      <c r="E80" s="8">
        <v>6.0</v>
      </c>
      <c r="F80" s="11">
        <v>61119.0</v>
      </c>
      <c r="G80" s="10" t="s">
        <v>19</v>
      </c>
      <c r="H80" s="9"/>
      <c r="I80" s="9"/>
      <c r="J80" s="16" t="s">
        <v>26</v>
      </c>
      <c r="K80" s="16" t="s">
        <v>26</v>
      </c>
    </row>
    <row r="81" ht="15.75" customHeight="1">
      <c r="A81" s="8">
        <v>80.0</v>
      </c>
      <c r="B81" s="9" t="s">
        <v>272</v>
      </c>
      <c r="C81" s="10" t="s">
        <v>273</v>
      </c>
      <c r="D81" s="11">
        <v>1315.0</v>
      </c>
      <c r="E81" s="8">
        <v>6.0</v>
      </c>
      <c r="F81" s="11">
        <v>60924.0</v>
      </c>
      <c r="G81" s="10" t="s">
        <v>19</v>
      </c>
      <c r="H81" s="9" t="s">
        <v>46</v>
      </c>
      <c r="I81" s="9"/>
      <c r="J81" s="16" t="s">
        <v>26</v>
      </c>
      <c r="K81" s="16" t="s">
        <v>26</v>
      </c>
    </row>
    <row r="82" ht="15.75" customHeight="1">
      <c r="A82" s="8">
        <v>81.0</v>
      </c>
      <c r="B82" s="9" t="s">
        <v>274</v>
      </c>
      <c r="C82" s="10" t="s">
        <v>275</v>
      </c>
      <c r="D82" s="11">
        <v>759.0</v>
      </c>
      <c r="E82" s="8">
        <v>6.0</v>
      </c>
      <c r="F82" s="11">
        <v>60784.0</v>
      </c>
      <c r="G82" s="10" t="s">
        <v>19</v>
      </c>
      <c r="H82" s="9" t="s">
        <v>21</v>
      </c>
      <c r="I82" s="9"/>
      <c r="J82" s="16" t="s">
        <v>26</v>
      </c>
      <c r="K82" s="16" t="s">
        <v>26</v>
      </c>
    </row>
    <row r="83" ht="15.75" customHeight="1">
      <c r="A83" s="8">
        <v>82.0</v>
      </c>
      <c r="B83" s="9" t="s">
        <v>276</v>
      </c>
      <c r="C83" s="10" t="s">
        <v>277</v>
      </c>
      <c r="D83" s="11">
        <v>73.0</v>
      </c>
      <c r="E83" s="8">
        <v>6.0</v>
      </c>
      <c r="F83" s="11">
        <v>59838.0</v>
      </c>
      <c r="G83" s="10" t="s">
        <v>19</v>
      </c>
      <c r="H83" s="9" t="s">
        <v>38</v>
      </c>
      <c r="I83" s="9"/>
      <c r="J83" s="16" t="s">
        <v>26</v>
      </c>
      <c r="K83" s="16" t="s">
        <v>26</v>
      </c>
    </row>
    <row r="84" ht="15.75" customHeight="1">
      <c r="A84" s="8">
        <v>83.0</v>
      </c>
      <c r="B84" s="9" t="s">
        <v>278</v>
      </c>
      <c r="C84" s="10" t="s">
        <v>279</v>
      </c>
      <c r="D84" s="11">
        <v>3429.0</v>
      </c>
      <c r="E84" s="8">
        <v>6.0</v>
      </c>
      <c r="F84" s="11">
        <v>58940.0</v>
      </c>
      <c r="G84" s="10" t="s">
        <v>19</v>
      </c>
      <c r="H84" s="9" t="s">
        <v>85</v>
      </c>
      <c r="I84" s="9"/>
      <c r="J84" s="16" t="s">
        <v>26</v>
      </c>
      <c r="K84" s="16" t="s">
        <v>26</v>
      </c>
    </row>
    <row r="85" ht="15.75" customHeight="1">
      <c r="A85" s="8">
        <v>84.0</v>
      </c>
      <c r="B85" s="9" t="s">
        <v>280</v>
      </c>
      <c r="C85" s="10" t="s">
        <v>281</v>
      </c>
      <c r="D85" s="11">
        <v>383.0</v>
      </c>
      <c r="E85" s="8">
        <v>4.0</v>
      </c>
      <c r="F85" s="11">
        <v>58855.0</v>
      </c>
      <c r="G85" s="10" t="s">
        <v>19</v>
      </c>
      <c r="H85" s="9" t="s">
        <v>32</v>
      </c>
      <c r="I85" s="9"/>
      <c r="J85" s="16" t="s">
        <v>26</v>
      </c>
      <c r="K85" s="16" t="s">
        <v>26</v>
      </c>
    </row>
    <row r="86" ht="15.75" customHeight="1">
      <c r="A86" s="8">
        <v>85.0</v>
      </c>
      <c r="B86" s="9" t="s">
        <v>282</v>
      </c>
      <c r="C86" s="10" t="s">
        <v>283</v>
      </c>
      <c r="D86" s="11">
        <v>551.0</v>
      </c>
      <c r="E86" s="8">
        <v>4.0</v>
      </c>
      <c r="F86" s="11">
        <v>58592.0</v>
      </c>
      <c r="G86" s="10" t="s">
        <v>19</v>
      </c>
      <c r="H86" s="9" t="s">
        <v>284</v>
      </c>
      <c r="I86" s="9"/>
      <c r="J86" s="16" t="s">
        <v>26</v>
      </c>
      <c r="K86" s="16" t="s">
        <v>26</v>
      </c>
    </row>
    <row r="87" ht="15.75" customHeight="1">
      <c r="A87" s="8">
        <v>86.0</v>
      </c>
      <c r="B87" s="9" t="s">
        <v>285</v>
      </c>
      <c r="C87" s="10" t="s">
        <v>286</v>
      </c>
      <c r="D87" s="11">
        <v>1215.0</v>
      </c>
      <c r="E87" s="8">
        <v>3.0</v>
      </c>
      <c r="F87" s="11">
        <v>57739.0</v>
      </c>
      <c r="G87" s="10" t="s">
        <v>19</v>
      </c>
      <c r="H87" s="9" t="s">
        <v>287</v>
      </c>
      <c r="I87" s="9"/>
      <c r="J87" s="16" t="s">
        <v>26</v>
      </c>
      <c r="K87" s="16" t="s">
        <v>26</v>
      </c>
    </row>
    <row r="88" ht="15.75" customHeight="1">
      <c r="A88" s="8">
        <v>87.0</v>
      </c>
      <c r="B88" s="9" t="s">
        <v>288</v>
      </c>
      <c r="C88" s="10" t="s">
        <v>289</v>
      </c>
      <c r="D88" s="11">
        <v>255.0</v>
      </c>
      <c r="E88" s="8">
        <v>6.0</v>
      </c>
      <c r="F88" s="11">
        <v>57433.0</v>
      </c>
      <c r="G88" s="10" t="s">
        <v>19</v>
      </c>
      <c r="H88" s="9" t="s">
        <v>85</v>
      </c>
      <c r="I88" s="9"/>
      <c r="J88" s="16" t="s">
        <v>26</v>
      </c>
      <c r="K88" s="16" t="s">
        <v>26</v>
      </c>
    </row>
    <row r="89" ht="15.75" customHeight="1">
      <c r="A89" s="8">
        <v>88.0</v>
      </c>
      <c r="B89" s="9" t="s">
        <v>290</v>
      </c>
      <c r="C89" s="10" t="s">
        <v>291</v>
      </c>
      <c r="D89" s="11">
        <v>1621.0</v>
      </c>
      <c r="E89" s="8">
        <v>6.0</v>
      </c>
      <c r="F89" s="11">
        <v>57297.0</v>
      </c>
      <c r="G89" s="10" t="s">
        <v>19</v>
      </c>
      <c r="H89" s="9" t="s">
        <v>46</v>
      </c>
      <c r="I89" s="9"/>
      <c r="J89" s="16" t="s">
        <v>26</v>
      </c>
      <c r="K89" s="16" t="s">
        <v>26</v>
      </c>
    </row>
    <row r="90" ht="15.75" customHeight="1">
      <c r="A90" s="8">
        <v>89.0</v>
      </c>
      <c r="B90" s="9" t="s">
        <v>292</v>
      </c>
      <c r="C90" s="10" t="s">
        <v>293</v>
      </c>
      <c r="D90" s="11">
        <v>75.0</v>
      </c>
      <c r="E90" s="8">
        <v>6.0</v>
      </c>
      <c r="F90" s="11">
        <v>57294.0</v>
      </c>
      <c r="G90" s="10" t="s">
        <v>19</v>
      </c>
      <c r="H90" s="9" t="s">
        <v>294</v>
      </c>
      <c r="I90" s="9"/>
      <c r="J90" s="16" t="s">
        <v>26</v>
      </c>
      <c r="K90" s="16" t="s">
        <v>26</v>
      </c>
    </row>
    <row r="91" ht="15.75" customHeight="1">
      <c r="A91" s="8">
        <v>90.0</v>
      </c>
      <c r="B91" s="9" t="s">
        <v>295</v>
      </c>
      <c r="C91" s="10" t="s">
        <v>296</v>
      </c>
      <c r="D91" s="11">
        <v>179.0</v>
      </c>
      <c r="E91" s="8">
        <v>6.0</v>
      </c>
      <c r="F91" s="11">
        <v>57063.0</v>
      </c>
      <c r="G91" s="10" t="s">
        <v>19</v>
      </c>
      <c r="H91" s="9" t="s">
        <v>227</v>
      </c>
      <c r="I91" s="9"/>
      <c r="J91" s="16" t="s">
        <v>26</v>
      </c>
      <c r="K91" s="16" t="s">
        <v>26</v>
      </c>
    </row>
    <row r="92" ht="15.75" customHeight="1">
      <c r="A92" s="8">
        <v>91.0</v>
      </c>
      <c r="B92" s="9" t="s">
        <v>297</v>
      </c>
      <c r="C92" s="10" t="s">
        <v>298</v>
      </c>
      <c r="D92" s="11">
        <v>435.0</v>
      </c>
      <c r="E92" s="8">
        <v>4.0</v>
      </c>
      <c r="F92" s="11">
        <v>56744.0</v>
      </c>
      <c r="G92" s="10" t="s">
        <v>19</v>
      </c>
      <c r="H92" s="9" t="s">
        <v>32</v>
      </c>
      <c r="I92" s="9"/>
      <c r="J92" s="16" t="s">
        <v>26</v>
      </c>
      <c r="K92" s="16" t="s">
        <v>26</v>
      </c>
    </row>
    <row r="93" ht="15.75" customHeight="1">
      <c r="A93" s="8">
        <v>92.0</v>
      </c>
      <c r="B93" s="23" t="s">
        <v>299</v>
      </c>
      <c r="C93" s="10" t="s">
        <v>300</v>
      </c>
      <c r="D93" s="11">
        <v>1086.0</v>
      </c>
      <c r="E93" s="8">
        <v>6.0</v>
      </c>
      <c r="F93" s="11">
        <v>55922.0</v>
      </c>
      <c r="G93" s="10" t="s">
        <v>19</v>
      </c>
      <c r="H93" s="9" t="s">
        <v>32</v>
      </c>
      <c r="I93" s="9"/>
      <c r="J93" s="16" t="s">
        <v>26</v>
      </c>
      <c r="K93" s="16" t="s">
        <v>26</v>
      </c>
    </row>
    <row r="94" ht="15.75" customHeight="1">
      <c r="A94" s="8">
        <v>93.0</v>
      </c>
      <c r="B94" s="23" t="s">
        <v>301</v>
      </c>
      <c r="C94" s="10" t="s">
        <v>302</v>
      </c>
      <c r="D94" s="11">
        <v>3639.0</v>
      </c>
      <c r="E94" s="8">
        <v>6.0</v>
      </c>
      <c r="F94" s="11">
        <v>55866.0</v>
      </c>
      <c r="G94" s="10" t="s">
        <v>19</v>
      </c>
      <c r="H94" s="9" t="s">
        <v>303</v>
      </c>
      <c r="I94" s="9"/>
      <c r="J94" s="16" t="s">
        <v>26</v>
      </c>
      <c r="K94" s="16" t="s">
        <v>26</v>
      </c>
    </row>
    <row r="95" ht="15.75" customHeight="1">
      <c r="A95" s="8">
        <v>94.0</v>
      </c>
      <c r="B95" s="9" t="s">
        <v>304</v>
      </c>
      <c r="C95" s="10" t="s">
        <v>305</v>
      </c>
      <c r="D95" s="11">
        <v>4109.0</v>
      </c>
      <c r="E95" s="8">
        <v>6.0</v>
      </c>
      <c r="F95" s="11">
        <v>55577.0</v>
      </c>
      <c r="G95" s="10" t="s">
        <v>19</v>
      </c>
      <c r="H95" s="9" t="s">
        <v>32</v>
      </c>
      <c r="I95" s="9" t="s">
        <v>306</v>
      </c>
      <c r="J95" s="16" t="s">
        <v>26</v>
      </c>
      <c r="K95" s="16" t="s">
        <v>26</v>
      </c>
    </row>
    <row r="96" ht="15.75" customHeight="1">
      <c r="A96" s="8">
        <v>95.0</v>
      </c>
      <c r="B96" s="9" t="s">
        <v>307</v>
      </c>
      <c r="C96" s="10" t="s">
        <v>308</v>
      </c>
      <c r="D96" s="11">
        <v>1871.0</v>
      </c>
      <c r="E96" s="8">
        <v>4.0</v>
      </c>
      <c r="F96" s="11">
        <v>55116.0</v>
      </c>
      <c r="G96" s="10" t="s">
        <v>19</v>
      </c>
      <c r="H96" s="9" t="s">
        <v>32</v>
      </c>
      <c r="I96" s="9" t="s">
        <v>309</v>
      </c>
      <c r="J96" s="16" t="s">
        <v>26</v>
      </c>
      <c r="K96" s="16" t="s">
        <v>26</v>
      </c>
    </row>
    <row r="97" ht="15.75" customHeight="1">
      <c r="A97" s="8">
        <v>96.0</v>
      </c>
      <c r="B97" s="9" t="s">
        <v>310</v>
      </c>
      <c r="C97" s="10" t="s">
        <v>311</v>
      </c>
      <c r="D97" s="11">
        <v>20.0</v>
      </c>
      <c r="E97" s="8">
        <v>6.0</v>
      </c>
      <c r="F97" s="11">
        <v>55071.0</v>
      </c>
      <c r="G97" s="10" t="s">
        <v>19</v>
      </c>
      <c r="H97" s="9" t="s">
        <v>116</v>
      </c>
      <c r="I97" s="9"/>
      <c r="J97" s="16" t="s">
        <v>26</v>
      </c>
      <c r="K97" s="16" t="s">
        <v>26</v>
      </c>
    </row>
    <row r="98" ht="15.75" customHeight="1">
      <c r="A98" s="8">
        <v>97.0</v>
      </c>
      <c r="B98" s="9" t="s">
        <v>312</v>
      </c>
      <c r="C98" s="10" t="s">
        <v>313</v>
      </c>
      <c r="D98" s="11">
        <v>1003.0</v>
      </c>
      <c r="E98" s="8">
        <v>5.0</v>
      </c>
      <c r="F98" s="11">
        <v>54918.0</v>
      </c>
      <c r="G98" s="10" t="s">
        <v>19</v>
      </c>
      <c r="H98" s="9" t="s">
        <v>21</v>
      </c>
      <c r="I98" s="9"/>
      <c r="J98" s="16" t="s">
        <v>26</v>
      </c>
      <c r="K98" s="16" t="s">
        <v>26</v>
      </c>
    </row>
    <row r="99" ht="15.75" customHeight="1">
      <c r="A99" s="8">
        <v>98.0</v>
      </c>
      <c r="B99" s="9" t="s">
        <v>314</v>
      </c>
      <c r="C99" s="10" t="s">
        <v>315</v>
      </c>
      <c r="D99" s="11">
        <v>2259.0</v>
      </c>
      <c r="E99" s="8">
        <v>6.0</v>
      </c>
      <c r="F99" s="11">
        <v>54834.0</v>
      </c>
      <c r="G99" s="10" t="s">
        <v>19</v>
      </c>
      <c r="H99" s="9" t="s">
        <v>186</v>
      </c>
      <c r="I99" s="9"/>
      <c r="J99" s="16" t="s">
        <v>26</v>
      </c>
      <c r="K99" s="16" t="s">
        <v>26</v>
      </c>
    </row>
    <row r="100" ht="15.75" customHeight="1">
      <c r="A100" s="8">
        <v>99.0</v>
      </c>
      <c r="B100" s="9" t="s">
        <v>316</v>
      </c>
      <c r="C100" s="10" t="s">
        <v>317</v>
      </c>
      <c r="D100" s="11">
        <v>271.0</v>
      </c>
      <c r="E100" s="8">
        <v>6.0</v>
      </c>
      <c r="F100" s="11">
        <v>54025.0</v>
      </c>
      <c r="G100" s="10" t="s">
        <v>19</v>
      </c>
      <c r="H100" s="9" t="s">
        <v>32</v>
      </c>
      <c r="I100" s="9"/>
      <c r="J100" s="16" t="s">
        <v>26</v>
      </c>
      <c r="K100" s="16" t="s">
        <v>26</v>
      </c>
    </row>
    <row r="101" ht="15.75" customHeight="1">
      <c r="A101" s="8">
        <v>100.0</v>
      </c>
      <c r="B101" s="9" t="s">
        <v>318</v>
      </c>
      <c r="C101" s="10" t="s">
        <v>319</v>
      </c>
      <c r="D101" s="11">
        <v>9157.0</v>
      </c>
      <c r="E101" s="8">
        <v>5.0</v>
      </c>
      <c r="F101" s="11">
        <v>52748.0</v>
      </c>
      <c r="G101" s="10" t="s">
        <v>19</v>
      </c>
      <c r="H101" s="9" t="s">
        <v>320</v>
      </c>
      <c r="I101" s="9"/>
      <c r="J101" s="16" t="s">
        <v>26</v>
      </c>
      <c r="K101" s="16" t="s">
        <v>26</v>
      </c>
    </row>
    <row r="102" ht="15.75" customHeight="1">
      <c r="A102" s="8">
        <v>101.0</v>
      </c>
      <c r="B102" s="9" t="s">
        <v>321</v>
      </c>
      <c r="C102" s="10" t="s">
        <v>322</v>
      </c>
      <c r="D102" s="11">
        <v>112.0</v>
      </c>
      <c r="E102" s="8">
        <v>3.0</v>
      </c>
      <c r="F102" s="11">
        <v>52133.0</v>
      </c>
      <c r="G102" s="10" t="s">
        <v>19</v>
      </c>
      <c r="H102" s="9" t="s">
        <v>32</v>
      </c>
      <c r="I102" s="9"/>
      <c r="J102" s="16" t="s">
        <v>26</v>
      </c>
      <c r="K102" s="16" t="s">
        <v>26</v>
      </c>
    </row>
    <row r="103" ht="15.75" customHeight="1">
      <c r="A103" s="8">
        <v>102.0</v>
      </c>
      <c r="B103" s="9" t="s">
        <v>323</v>
      </c>
      <c r="C103" s="10" t="s">
        <v>324</v>
      </c>
      <c r="D103" s="11">
        <v>3766.0</v>
      </c>
      <c r="E103" s="8">
        <v>6.0</v>
      </c>
      <c r="F103" s="11">
        <v>51469.0</v>
      </c>
      <c r="G103" s="10" t="s">
        <v>19</v>
      </c>
      <c r="H103" s="9" t="s">
        <v>46</v>
      </c>
      <c r="I103" s="9"/>
      <c r="J103" s="16" t="s">
        <v>26</v>
      </c>
      <c r="K103" s="16" t="s">
        <v>26</v>
      </c>
    </row>
    <row r="104" ht="15.75" customHeight="1">
      <c r="A104" s="8">
        <v>103.0</v>
      </c>
      <c r="B104" s="9" t="s">
        <v>325</v>
      </c>
      <c r="C104" s="10" t="s">
        <v>326</v>
      </c>
      <c r="D104" s="11">
        <v>36.0</v>
      </c>
      <c r="E104" s="8">
        <v>6.0</v>
      </c>
      <c r="F104" s="11">
        <v>51430.0</v>
      </c>
      <c r="G104" s="10" t="s">
        <v>19</v>
      </c>
      <c r="H104" s="9" t="s">
        <v>46</v>
      </c>
      <c r="I104" s="9"/>
      <c r="J104" s="16" t="s">
        <v>26</v>
      </c>
      <c r="K104" s="16" t="s">
        <v>26</v>
      </c>
    </row>
    <row r="105" ht="15.75" customHeight="1">
      <c r="A105" s="8">
        <v>104.0</v>
      </c>
      <c r="B105" s="9" t="s">
        <v>327</v>
      </c>
      <c r="C105" s="10" t="s">
        <v>328</v>
      </c>
      <c r="D105" s="11">
        <v>3454.0</v>
      </c>
      <c r="E105" s="8">
        <v>4.0</v>
      </c>
      <c r="F105" s="11">
        <v>51402.0</v>
      </c>
      <c r="G105" s="10" t="s">
        <v>19</v>
      </c>
      <c r="H105" s="9" t="s">
        <v>32</v>
      </c>
      <c r="I105" s="9"/>
      <c r="J105" s="16" t="s">
        <v>26</v>
      </c>
      <c r="K105" s="16" t="s">
        <v>26</v>
      </c>
    </row>
    <row r="106" ht="15.75" customHeight="1">
      <c r="A106" s="8">
        <v>105.0</v>
      </c>
      <c r="B106" s="9" t="s">
        <v>329</v>
      </c>
      <c r="C106" s="10" t="s">
        <v>330</v>
      </c>
      <c r="D106" s="11">
        <v>938.0</v>
      </c>
      <c r="E106" s="8">
        <v>4.0</v>
      </c>
      <c r="F106" s="11">
        <v>51277.0</v>
      </c>
      <c r="G106" s="10" t="s">
        <v>19</v>
      </c>
      <c r="H106" s="9" t="s">
        <v>32</v>
      </c>
      <c r="I106" s="9"/>
      <c r="J106" s="16" t="s">
        <v>26</v>
      </c>
      <c r="K106" s="16" t="s">
        <v>26</v>
      </c>
    </row>
    <row r="107" ht="15.75" customHeight="1">
      <c r="A107" s="8">
        <v>106.0</v>
      </c>
      <c r="B107" s="9" t="s">
        <v>331</v>
      </c>
      <c r="C107" s="10" t="s">
        <v>332</v>
      </c>
      <c r="D107" s="11">
        <v>2067.0</v>
      </c>
      <c r="E107" s="8">
        <v>4.0</v>
      </c>
      <c r="F107" s="11">
        <v>50610.0</v>
      </c>
      <c r="G107" s="10" t="s">
        <v>19</v>
      </c>
      <c r="H107" s="9" t="s">
        <v>21</v>
      </c>
      <c r="I107" s="9"/>
      <c r="J107" s="16" t="s">
        <v>26</v>
      </c>
      <c r="K107" s="16" t="s">
        <v>26</v>
      </c>
    </row>
    <row r="108" ht="15.75" customHeight="1">
      <c r="A108" s="8">
        <v>107.0</v>
      </c>
      <c r="B108" s="9" t="s">
        <v>268</v>
      </c>
      <c r="C108" s="10" t="s">
        <v>333</v>
      </c>
      <c r="D108" s="11">
        <v>652.0</v>
      </c>
      <c r="E108" s="8">
        <v>6.0</v>
      </c>
      <c r="F108" s="11">
        <v>50205.0</v>
      </c>
      <c r="G108" s="10" t="s">
        <v>19</v>
      </c>
      <c r="H108" s="9" t="s">
        <v>32</v>
      </c>
      <c r="I108" s="9"/>
      <c r="J108" s="16" t="s">
        <v>26</v>
      </c>
      <c r="K108" s="16" t="s">
        <v>26</v>
      </c>
    </row>
    <row r="109" ht="15.75" customHeight="1">
      <c r="A109" s="8">
        <v>108.0</v>
      </c>
      <c r="B109" s="9" t="s">
        <v>334</v>
      </c>
      <c r="C109" s="10" t="s">
        <v>335</v>
      </c>
      <c r="D109" s="11">
        <v>3626.0</v>
      </c>
      <c r="E109" s="8">
        <v>6.0</v>
      </c>
      <c r="F109" s="11">
        <v>49001.0</v>
      </c>
      <c r="G109" s="10" t="s">
        <v>43</v>
      </c>
      <c r="H109" s="9" t="s">
        <v>21</v>
      </c>
      <c r="I109" s="9"/>
      <c r="J109" s="16" t="s">
        <v>26</v>
      </c>
      <c r="K109" s="16" t="s">
        <v>26</v>
      </c>
    </row>
    <row r="110" ht="15.75" customHeight="1">
      <c r="A110" s="8">
        <v>109.0</v>
      </c>
      <c r="B110" s="9" t="s">
        <v>336</v>
      </c>
      <c r="C110" s="10" t="s">
        <v>337</v>
      </c>
      <c r="D110" s="11">
        <v>736.0</v>
      </c>
      <c r="E110" s="8">
        <v>6.0</v>
      </c>
      <c r="F110" s="11">
        <v>48565.0</v>
      </c>
      <c r="G110" s="10" t="s">
        <v>43</v>
      </c>
      <c r="H110" s="9" t="s">
        <v>32</v>
      </c>
      <c r="I110" s="9"/>
      <c r="J110" s="16" t="s">
        <v>26</v>
      </c>
      <c r="K110" s="16" t="s">
        <v>26</v>
      </c>
    </row>
    <row r="111" ht="15.75" customHeight="1">
      <c r="A111" s="8">
        <v>110.0</v>
      </c>
      <c r="B111" s="9" t="s">
        <v>338</v>
      </c>
      <c r="C111" s="10" t="s">
        <v>339</v>
      </c>
      <c r="D111" s="11">
        <v>602.0</v>
      </c>
      <c r="E111" s="8">
        <v>6.0</v>
      </c>
      <c r="F111" s="11">
        <v>47686.0</v>
      </c>
      <c r="G111" s="10" t="s">
        <v>43</v>
      </c>
      <c r="H111" s="9" t="s">
        <v>32</v>
      </c>
      <c r="I111" s="9" t="s">
        <v>340</v>
      </c>
      <c r="J111" s="16" t="s">
        <v>26</v>
      </c>
      <c r="K111" s="16" t="s">
        <v>26</v>
      </c>
    </row>
    <row r="112" ht="15.75" customHeight="1">
      <c r="A112" s="8">
        <v>111.0</v>
      </c>
      <c r="B112" s="9" t="s">
        <v>341</v>
      </c>
      <c r="C112" s="10" t="s">
        <v>342</v>
      </c>
      <c r="D112" s="11">
        <v>200.0</v>
      </c>
      <c r="E112" s="8">
        <v>6.0</v>
      </c>
      <c r="F112" s="11">
        <v>47369.0</v>
      </c>
      <c r="G112" s="10" t="s">
        <v>43</v>
      </c>
      <c r="H112" s="9" t="s">
        <v>32</v>
      </c>
      <c r="I112" s="9"/>
      <c r="J112" s="16" t="s">
        <v>26</v>
      </c>
      <c r="K112" s="16" t="s">
        <v>26</v>
      </c>
    </row>
    <row r="113" ht="15.75" customHeight="1">
      <c r="A113" s="8">
        <v>112.0</v>
      </c>
      <c r="B113" s="9" t="s">
        <v>343</v>
      </c>
      <c r="C113" s="10" t="s">
        <v>344</v>
      </c>
      <c r="D113" s="11">
        <v>569.0</v>
      </c>
      <c r="E113" s="8">
        <v>6.0</v>
      </c>
      <c r="F113" s="11">
        <v>46863.0</v>
      </c>
      <c r="G113" s="10" t="s">
        <v>43</v>
      </c>
      <c r="H113" s="9" t="s">
        <v>46</v>
      </c>
      <c r="I113" s="9"/>
      <c r="J113" s="16" t="s">
        <v>26</v>
      </c>
      <c r="K113" s="16" t="s">
        <v>26</v>
      </c>
    </row>
    <row r="114" ht="15.75" customHeight="1">
      <c r="A114" s="8">
        <v>113.0</v>
      </c>
      <c r="B114" s="9" t="s">
        <v>345</v>
      </c>
      <c r="C114" s="10" t="s">
        <v>346</v>
      </c>
      <c r="D114" s="11">
        <v>137.0</v>
      </c>
      <c r="E114" s="8">
        <v>2.0</v>
      </c>
      <c r="F114" s="11">
        <v>46794.0</v>
      </c>
      <c r="G114" s="10" t="s">
        <v>43</v>
      </c>
      <c r="H114" s="9" t="s">
        <v>32</v>
      </c>
      <c r="I114" s="9"/>
      <c r="J114" s="16" t="s">
        <v>26</v>
      </c>
      <c r="K114" s="16" t="s">
        <v>26</v>
      </c>
    </row>
    <row r="115" ht="15.75" customHeight="1">
      <c r="A115" s="8">
        <v>114.0</v>
      </c>
      <c r="B115" s="9" t="s">
        <v>108</v>
      </c>
      <c r="C115" s="10" t="s">
        <v>347</v>
      </c>
      <c r="D115" s="11">
        <v>2664.0</v>
      </c>
      <c r="E115" s="8">
        <v>3.0</v>
      </c>
      <c r="F115" s="11">
        <v>46618.0</v>
      </c>
      <c r="G115" s="10" t="s">
        <v>43</v>
      </c>
      <c r="H115" s="9" t="s">
        <v>57</v>
      </c>
      <c r="I115" s="9"/>
      <c r="J115" s="16" t="s">
        <v>26</v>
      </c>
      <c r="K115" s="16" t="s">
        <v>26</v>
      </c>
    </row>
    <row r="116" ht="15.75" customHeight="1">
      <c r="A116" s="8">
        <v>115.0</v>
      </c>
      <c r="B116" s="9" t="s">
        <v>348</v>
      </c>
      <c r="C116" s="10" t="s">
        <v>349</v>
      </c>
      <c r="D116" s="11">
        <v>2141.0</v>
      </c>
      <c r="E116" s="8">
        <v>6.0</v>
      </c>
      <c r="F116" s="11">
        <v>46609.0</v>
      </c>
      <c r="G116" s="10" t="s">
        <v>43</v>
      </c>
      <c r="H116" s="9" t="s">
        <v>350</v>
      </c>
      <c r="I116" s="9"/>
      <c r="J116" s="16" t="s">
        <v>26</v>
      </c>
      <c r="K116" s="16" t="s">
        <v>26</v>
      </c>
    </row>
    <row r="117" ht="15.75" customHeight="1">
      <c r="A117" s="8">
        <v>116.0</v>
      </c>
      <c r="B117" s="9" t="s">
        <v>351</v>
      </c>
      <c r="C117" s="10" t="s">
        <v>352</v>
      </c>
      <c r="D117" s="11">
        <v>1091.0</v>
      </c>
      <c r="E117" s="8">
        <v>6.0</v>
      </c>
      <c r="F117" s="11">
        <v>46481.0</v>
      </c>
      <c r="G117" s="10" t="s">
        <v>43</v>
      </c>
      <c r="H117" s="9" t="s">
        <v>46</v>
      </c>
      <c r="I117" s="9"/>
      <c r="J117" s="16" t="s">
        <v>26</v>
      </c>
      <c r="K117" s="16" t="s">
        <v>26</v>
      </c>
    </row>
    <row r="118" ht="15.75" customHeight="1">
      <c r="A118" s="8">
        <v>117.0</v>
      </c>
      <c r="B118" s="9" t="s">
        <v>353</v>
      </c>
      <c r="C118" s="10" t="s">
        <v>354</v>
      </c>
      <c r="D118" s="11">
        <v>2565.0</v>
      </c>
      <c r="E118" s="8">
        <v>5.0</v>
      </c>
      <c r="F118" s="11">
        <v>45446.0</v>
      </c>
      <c r="G118" s="10" t="s">
        <v>43</v>
      </c>
      <c r="H118" s="9" t="s">
        <v>32</v>
      </c>
      <c r="I118" s="9" t="s">
        <v>355</v>
      </c>
      <c r="J118" s="16" t="s">
        <v>26</v>
      </c>
      <c r="K118" s="16" t="s">
        <v>26</v>
      </c>
    </row>
    <row r="119" ht="15.75" customHeight="1">
      <c r="A119" s="8">
        <v>118.0</v>
      </c>
      <c r="B119" s="9" t="s">
        <v>356</v>
      </c>
      <c r="C119" s="10" t="s">
        <v>357</v>
      </c>
      <c r="D119" s="11">
        <v>2958.0</v>
      </c>
      <c r="E119" s="8">
        <v>4.0</v>
      </c>
      <c r="F119" s="11">
        <v>45421.0</v>
      </c>
      <c r="G119" s="10" t="s">
        <v>43</v>
      </c>
      <c r="H119" s="9" t="s">
        <v>358</v>
      </c>
      <c r="I119" s="9"/>
      <c r="J119" s="16" t="s">
        <v>26</v>
      </c>
      <c r="K119" s="16" t="s">
        <v>26</v>
      </c>
    </row>
    <row r="120" ht="15.75" customHeight="1">
      <c r="A120" s="8">
        <v>119.0</v>
      </c>
      <c r="B120" s="9" t="s">
        <v>359</v>
      </c>
      <c r="C120" s="10" t="s">
        <v>360</v>
      </c>
      <c r="D120" s="11">
        <v>988.0</v>
      </c>
      <c r="E120" s="8">
        <v>4.0</v>
      </c>
      <c r="F120" s="11">
        <v>45070.0</v>
      </c>
      <c r="G120" s="10" t="s">
        <v>43</v>
      </c>
      <c r="H120" s="9" t="s">
        <v>57</v>
      </c>
      <c r="I120" s="9"/>
      <c r="J120" s="16" t="s">
        <v>26</v>
      </c>
      <c r="K120" s="16" t="s">
        <v>26</v>
      </c>
    </row>
    <row r="121" ht="15.75" customHeight="1">
      <c r="A121" s="8">
        <v>120.0</v>
      </c>
      <c r="B121" s="9" t="s">
        <v>361</v>
      </c>
      <c r="C121" s="10" t="s">
        <v>362</v>
      </c>
      <c r="D121" s="11">
        <v>1882.0</v>
      </c>
      <c r="E121" s="8">
        <v>3.0</v>
      </c>
      <c r="F121" s="11">
        <v>44923.0</v>
      </c>
      <c r="G121" s="10" t="s">
        <v>43</v>
      </c>
      <c r="H121" s="9" t="s">
        <v>32</v>
      </c>
      <c r="I121" s="9"/>
      <c r="J121" s="16" t="s">
        <v>26</v>
      </c>
      <c r="K121" s="16" t="s">
        <v>26</v>
      </c>
    </row>
    <row r="122" ht="15.75" customHeight="1">
      <c r="A122" s="8">
        <v>121.0</v>
      </c>
      <c r="B122" s="9" t="s">
        <v>363</v>
      </c>
      <c r="C122" s="10" t="s">
        <v>364</v>
      </c>
      <c r="D122" s="11">
        <v>1389.0</v>
      </c>
      <c r="E122" s="8">
        <v>2.0</v>
      </c>
      <c r="F122" s="11">
        <v>44432.0</v>
      </c>
      <c r="G122" s="10" t="s">
        <v>43</v>
      </c>
      <c r="H122" s="9" t="s">
        <v>57</v>
      </c>
      <c r="I122" s="9"/>
      <c r="J122" s="16" t="s">
        <v>26</v>
      </c>
      <c r="K122" s="16" t="s">
        <v>26</v>
      </c>
    </row>
    <row r="123" ht="15.75" customHeight="1">
      <c r="A123" s="8">
        <v>122.0</v>
      </c>
      <c r="B123" s="9" t="s">
        <v>365</v>
      </c>
      <c r="C123" s="10" t="s">
        <v>366</v>
      </c>
      <c r="D123" s="11">
        <v>3987.0</v>
      </c>
      <c r="E123" s="8">
        <v>6.0</v>
      </c>
      <c r="F123" s="11">
        <v>44128.0</v>
      </c>
      <c r="G123" s="10" t="s">
        <v>43</v>
      </c>
      <c r="H123" s="9" t="s">
        <v>32</v>
      </c>
      <c r="I123" s="9"/>
      <c r="J123" s="16" t="s">
        <v>26</v>
      </c>
      <c r="K123" s="16" t="s">
        <v>26</v>
      </c>
    </row>
    <row r="124" ht="15.75" customHeight="1">
      <c r="A124" s="8">
        <v>123.0</v>
      </c>
      <c r="B124" s="9" t="s">
        <v>367</v>
      </c>
      <c r="C124" s="10" t="s">
        <v>368</v>
      </c>
      <c r="D124" s="11">
        <v>497.0</v>
      </c>
      <c r="E124" s="8">
        <v>4.0</v>
      </c>
      <c r="F124" s="11">
        <v>44091.0</v>
      </c>
      <c r="G124" s="10" t="s">
        <v>43</v>
      </c>
      <c r="H124" s="9" t="s">
        <v>32</v>
      </c>
      <c r="I124" s="9"/>
      <c r="J124" s="16" t="s">
        <v>26</v>
      </c>
      <c r="K124" s="16" t="s">
        <v>26</v>
      </c>
    </row>
    <row r="125" ht="15.75" customHeight="1">
      <c r="A125" s="8">
        <v>124.0</v>
      </c>
      <c r="B125" s="9" t="s">
        <v>369</v>
      </c>
      <c r="C125" s="10" t="s">
        <v>370</v>
      </c>
      <c r="D125" s="11">
        <v>203.0</v>
      </c>
      <c r="E125" s="8">
        <v>6.0</v>
      </c>
      <c r="F125" s="11">
        <v>44065.0</v>
      </c>
      <c r="G125" s="10" t="s">
        <v>43</v>
      </c>
      <c r="H125" s="9" t="s">
        <v>214</v>
      </c>
      <c r="I125" s="9"/>
      <c r="J125" s="16" t="s">
        <v>26</v>
      </c>
      <c r="K125" s="16" t="s">
        <v>26</v>
      </c>
    </row>
    <row r="126" ht="15.75" customHeight="1">
      <c r="A126" s="8">
        <v>125.0</v>
      </c>
      <c r="B126" s="9" t="s">
        <v>371</v>
      </c>
      <c r="C126" s="10" t="s">
        <v>372</v>
      </c>
      <c r="D126" s="11">
        <v>3288.0</v>
      </c>
      <c r="E126" s="8">
        <v>4.0</v>
      </c>
      <c r="F126" s="11">
        <v>43948.0</v>
      </c>
      <c r="G126" s="10" t="s">
        <v>43</v>
      </c>
      <c r="H126" s="9" t="s">
        <v>46</v>
      </c>
      <c r="I126" s="9"/>
      <c r="J126" s="16" t="s">
        <v>26</v>
      </c>
      <c r="K126" s="16" t="s">
        <v>26</v>
      </c>
    </row>
    <row r="127" ht="15.75" customHeight="1">
      <c r="A127" s="8">
        <v>126.0</v>
      </c>
      <c r="B127" s="9" t="s">
        <v>373</v>
      </c>
      <c r="C127" s="10" t="s">
        <v>374</v>
      </c>
      <c r="D127" s="11">
        <v>1254.0</v>
      </c>
      <c r="E127" s="8">
        <v>6.0</v>
      </c>
      <c r="F127" s="11">
        <v>43336.0</v>
      </c>
      <c r="G127" s="10" t="s">
        <v>43</v>
      </c>
      <c r="H127" s="9" t="s">
        <v>375</v>
      </c>
      <c r="I127" s="9"/>
      <c r="J127" s="16" t="s">
        <v>26</v>
      </c>
      <c r="K127" s="16" t="s">
        <v>26</v>
      </c>
    </row>
    <row r="128" ht="15.75" customHeight="1">
      <c r="A128" s="8">
        <v>127.0</v>
      </c>
      <c r="B128" s="9" t="s">
        <v>376</v>
      </c>
      <c r="C128" s="10" t="s">
        <v>377</v>
      </c>
      <c r="D128" s="11">
        <v>651.0</v>
      </c>
      <c r="E128" s="8">
        <v>4.0</v>
      </c>
      <c r="F128" s="11">
        <v>42795.0</v>
      </c>
      <c r="G128" s="10" t="s">
        <v>43</v>
      </c>
      <c r="H128" s="9" t="s">
        <v>57</v>
      </c>
      <c r="I128" s="9"/>
      <c r="J128" s="16" t="s">
        <v>26</v>
      </c>
      <c r="K128" s="16" t="s">
        <v>26</v>
      </c>
    </row>
    <row r="129" ht="15.75" customHeight="1">
      <c r="A129" s="8">
        <v>128.0</v>
      </c>
      <c r="B129" s="9" t="s">
        <v>378</v>
      </c>
      <c r="C129" s="10" t="s">
        <v>379</v>
      </c>
      <c r="D129" s="11">
        <v>14.0</v>
      </c>
      <c r="E129" s="8">
        <v>6.0</v>
      </c>
      <c r="F129" s="11">
        <v>42194.0</v>
      </c>
      <c r="G129" s="10" t="s">
        <v>43</v>
      </c>
      <c r="H129" s="9" t="s">
        <v>380</v>
      </c>
      <c r="I129" s="9"/>
      <c r="J129" s="16" t="s">
        <v>26</v>
      </c>
      <c r="K129" s="16" t="s">
        <v>26</v>
      </c>
    </row>
    <row r="130" ht="15.75" customHeight="1">
      <c r="A130" s="8">
        <v>129.0</v>
      </c>
      <c r="B130" s="9" t="s">
        <v>381</v>
      </c>
      <c r="C130" s="10" t="s">
        <v>382</v>
      </c>
      <c r="D130" s="11">
        <v>1705.0</v>
      </c>
      <c r="E130" s="8">
        <v>3.0</v>
      </c>
      <c r="F130" s="11">
        <v>42183.0</v>
      </c>
      <c r="G130" s="10" t="s">
        <v>43</v>
      </c>
      <c r="H130" s="9" t="s">
        <v>32</v>
      </c>
      <c r="I130" s="9"/>
      <c r="J130" s="16" t="s">
        <v>26</v>
      </c>
      <c r="K130" s="16" t="s">
        <v>26</v>
      </c>
    </row>
    <row r="131" ht="15.75" customHeight="1">
      <c r="A131" s="8">
        <v>130.0</v>
      </c>
      <c r="B131" s="9" t="s">
        <v>383</v>
      </c>
      <c r="C131" s="10" t="s">
        <v>384</v>
      </c>
      <c r="D131" s="11">
        <v>3506.0</v>
      </c>
      <c r="E131" s="8">
        <v>5.0</v>
      </c>
      <c r="F131" s="11">
        <v>42139.0</v>
      </c>
      <c r="G131" s="10" t="s">
        <v>43</v>
      </c>
      <c r="H131" s="9" t="s">
        <v>32</v>
      </c>
      <c r="I131" s="9"/>
      <c r="J131" s="16" t="s">
        <v>26</v>
      </c>
      <c r="K131" s="16" t="s">
        <v>26</v>
      </c>
    </row>
    <row r="132" ht="15.75" customHeight="1">
      <c r="A132" s="8">
        <v>131.0</v>
      </c>
      <c r="B132" s="9" t="s">
        <v>385</v>
      </c>
      <c r="C132" s="10" t="s">
        <v>386</v>
      </c>
      <c r="D132" s="11">
        <v>2686.0</v>
      </c>
      <c r="E132" s="8">
        <v>6.0</v>
      </c>
      <c r="F132" s="11">
        <v>42070.0</v>
      </c>
      <c r="G132" s="10" t="s">
        <v>43</v>
      </c>
      <c r="H132" s="9" t="s">
        <v>32</v>
      </c>
      <c r="I132" s="9"/>
      <c r="J132" s="16" t="s">
        <v>26</v>
      </c>
      <c r="K132" s="16" t="s">
        <v>26</v>
      </c>
    </row>
    <row r="133" ht="15.75" customHeight="1">
      <c r="A133" s="8">
        <v>132.0</v>
      </c>
      <c r="B133" s="9" t="s">
        <v>387</v>
      </c>
      <c r="C133" s="10" t="s">
        <v>388</v>
      </c>
      <c r="D133" s="11">
        <v>61.0</v>
      </c>
      <c r="E133" s="8">
        <v>6.0</v>
      </c>
      <c r="F133" s="11">
        <v>41745.0</v>
      </c>
      <c r="G133" s="10" t="s">
        <v>43</v>
      </c>
      <c r="H133" s="9" t="s">
        <v>389</v>
      </c>
      <c r="I133" s="9"/>
      <c r="J133" s="16" t="s">
        <v>26</v>
      </c>
      <c r="K133" s="16" t="s">
        <v>26</v>
      </c>
    </row>
    <row r="134" ht="15.75" customHeight="1">
      <c r="A134" s="8">
        <v>133.0</v>
      </c>
      <c r="B134" s="9" t="s">
        <v>390</v>
      </c>
      <c r="C134" s="10" t="s">
        <v>391</v>
      </c>
      <c r="D134" s="11">
        <v>467.0</v>
      </c>
      <c r="E134" s="8">
        <v>6.0</v>
      </c>
      <c r="F134" s="11">
        <v>41601.0</v>
      </c>
      <c r="G134" s="10" t="s">
        <v>43</v>
      </c>
      <c r="H134" s="9" t="s">
        <v>46</v>
      </c>
      <c r="I134" s="9"/>
      <c r="J134" s="16" t="s">
        <v>26</v>
      </c>
      <c r="K134" s="16" t="s">
        <v>26</v>
      </c>
    </row>
    <row r="135" ht="15.75" customHeight="1">
      <c r="A135" s="8">
        <v>134.0</v>
      </c>
      <c r="B135" s="9" t="s">
        <v>392</v>
      </c>
      <c r="C135" s="10" t="s">
        <v>393</v>
      </c>
      <c r="D135" s="11">
        <v>151.0</v>
      </c>
      <c r="E135" s="8">
        <v>3.0</v>
      </c>
      <c r="F135" s="11">
        <v>41494.0</v>
      </c>
      <c r="G135" s="10" t="s">
        <v>43</v>
      </c>
      <c r="H135" s="9" t="s">
        <v>46</v>
      </c>
      <c r="I135" s="9"/>
      <c r="J135" s="16" t="s">
        <v>26</v>
      </c>
      <c r="K135" s="16" t="s">
        <v>26</v>
      </c>
    </row>
    <row r="136" ht="15.75" customHeight="1">
      <c r="A136" s="8">
        <v>135.0</v>
      </c>
      <c r="B136" s="9" t="s">
        <v>394</v>
      </c>
      <c r="C136" s="10" t="s">
        <v>395</v>
      </c>
      <c r="D136" s="11">
        <v>1690.0</v>
      </c>
      <c r="E136" s="8">
        <v>4.0</v>
      </c>
      <c r="F136" s="11">
        <v>41449.0</v>
      </c>
      <c r="G136" s="10" t="s">
        <v>43</v>
      </c>
      <c r="H136" s="9" t="s">
        <v>32</v>
      </c>
      <c r="I136" s="9" t="s">
        <v>396</v>
      </c>
      <c r="J136" s="16" t="s">
        <v>26</v>
      </c>
      <c r="K136" s="16" t="s">
        <v>26</v>
      </c>
    </row>
    <row r="137" ht="15.75" customHeight="1">
      <c r="A137" s="8">
        <v>136.0</v>
      </c>
      <c r="B137" s="9" t="s">
        <v>397</v>
      </c>
      <c r="C137" s="10" t="s">
        <v>398</v>
      </c>
      <c r="D137" s="11">
        <v>1270.0</v>
      </c>
      <c r="E137" s="8">
        <v>5.0</v>
      </c>
      <c r="F137" s="11">
        <v>41426.0</v>
      </c>
      <c r="G137" s="10" t="s">
        <v>43</v>
      </c>
      <c r="H137" s="9" t="s">
        <v>399</v>
      </c>
      <c r="I137" s="9"/>
      <c r="J137" s="16" t="s">
        <v>26</v>
      </c>
      <c r="K137" s="16" t="s">
        <v>26</v>
      </c>
    </row>
    <row r="138" ht="15.75" customHeight="1">
      <c r="A138" s="8">
        <v>137.0</v>
      </c>
      <c r="B138" s="9" t="s">
        <v>400</v>
      </c>
      <c r="C138" s="10" t="s">
        <v>401</v>
      </c>
      <c r="D138" s="11">
        <v>1171.0</v>
      </c>
      <c r="E138" s="8">
        <v>6.0</v>
      </c>
      <c r="F138" s="11">
        <v>41373.0</v>
      </c>
      <c r="G138" s="10" t="s">
        <v>43</v>
      </c>
      <c r="H138" s="9" t="s">
        <v>46</v>
      </c>
      <c r="I138" s="9"/>
      <c r="J138" s="16" t="s">
        <v>26</v>
      </c>
      <c r="K138" s="16" t="s">
        <v>26</v>
      </c>
    </row>
    <row r="139" ht="15.75" customHeight="1">
      <c r="A139" s="8">
        <v>138.0</v>
      </c>
      <c r="B139" s="9" t="s">
        <v>402</v>
      </c>
      <c r="C139" s="10" t="s">
        <v>403</v>
      </c>
      <c r="D139" s="11">
        <v>31.0</v>
      </c>
      <c r="E139" s="8">
        <v>6.0</v>
      </c>
      <c r="F139" s="11">
        <v>41193.0</v>
      </c>
      <c r="G139" s="10" t="s">
        <v>43</v>
      </c>
      <c r="H139" s="9" t="s">
        <v>46</v>
      </c>
      <c r="I139" s="9"/>
      <c r="J139" s="16" t="s">
        <v>26</v>
      </c>
      <c r="K139" s="16" t="s">
        <v>26</v>
      </c>
    </row>
    <row r="140" ht="15.75" customHeight="1">
      <c r="A140" s="8">
        <v>139.0</v>
      </c>
      <c r="B140" s="9" t="s">
        <v>404</v>
      </c>
      <c r="C140" s="10" t="s">
        <v>405</v>
      </c>
      <c r="D140" s="11">
        <v>1925.0</v>
      </c>
      <c r="E140" s="8">
        <v>3.0</v>
      </c>
      <c r="F140" s="11">
        <v>40816.0</v>
      </c>
      <c r="G140" s="10" t="s">
        <v>43</v>
      </c>
      <c r="H140" s="9" t="s">
        <v>32</v>
      </c>
      <c r="I140" s="9" t="s">
        <v>406</v>
      </c>
      <c r="J140" s="16" t="s">
        <v>26</v>
      </c>
      <c r="K140" s="16" t="s">
        <v>26</v>
      </c>
    </row>
    <row r="141" ht="15.75" customHeight="1">
      <c r="A141" s="8">
        <v>140.0</v>
      </c>
      <c r="B141" s="9" t="s">
        <v>407</v>
      </c>
      <c r="C141" s="10" t="s">
        <v>408</v>
      </c>
      <c r="D141" s="11">
        <v>139.0</v>
      </c>
      <c r="E141" s="8">
        <v>3.0</v>
      </c>
      <c r="F141" s="11">
        <v>40730.0</v>
      </c>
      <c r="G141" s="10" t="s">
        <v>43</v>
      </c>
      <c r="H141" s="9" t="s">
        <v>21</v>
      </c>
      <c r="I141" s="9"/>
      <c r="J141" s="16" t="s">
        <v>26</v>
      </c>
      <c r="K141" s="16" t="s">
        <v>26</v>
      </c>
    </row>
    <row r="142" ht="15.75" customHeight="1">
      <c r="A142" s="8">
        <v>141.0</v>
      </c>
      <c r="B142" s="9" t="s">
        <v>409</v>
      </c>
      <c r="C142" s="10" t="s">
        <v>410</v>
      </c>
      <c r="D142" s="11">
        <v>1037.0</v>
      </c>
      <c r="E142" s="8">
        <v>3.0</v>
      </c>
      <c r="F142" s="11">
        <v>40673.0</v>
      </c>
      <c r="G142" s="10" t="s">
        <v>43</v>
      </c>
      <c r="H142" s="9" t="s">
        <v>21</v>
      </c>
      <c r="I142" s="9"/>
      <c r="J142" s="16" t="s">
        <v>26</v>
      </c>
      <c r="K142" s="16" t="s">
        <v>26</v>
      </c>
    </row>
    <row r="143" ht="15.75" customHeight="1">
      <c r="A143" s="8">
        <v>142.0</v>
      </c>
      <c r="B143" s="9" t="s">
        <v>411</v>
      </c>
      <c r="C143" s="10" t="s">
        <v>412</v>
      </c>
      <c r="D143" s="11">
        <v>942.0</v>
      </c>
      <c r="E143" s="8">
        <v>3.0</v>
      </c>
      <c r="F143" s="11">
        <v>40668.0</v>
      </c>
      <c r="G143" s="10" t="s">
        <v>43</v>
      </c>
      <c r="H143" s="9" t="s">
        <v>32</v>
      </c>
      <c r="I143" s="9" t="s">
        <v>413</v>
      </c>
      <c r="J143" s="16" t="s">
        <v>26</v>
      </c>
      <c r="K143" s="16" t="s">
        <v>26</v>
      </c>
    </row>
    <row r="144" ht="15.75" customHeight="1">
      <c r="A144" s="8">
        <v>143.0</v>
      </c>
      <c r="B144" s="9" t="s">
        <v>414</v>
      </c>
      <c r="C144" s="10" t="s">
        <v>415</v>
      </c>
      <c r="D144" s="11">
        <v>2593.0</v>
      </c>
      <c r="E144" s="8">
        <v>4.0</v>
      </c>
      <c r="F144" s="11">
        <v>40051.0</v>
      </c>
      <c r="G144" s="10" t="s">
        <v>43</v>
      </c>
      <c r="H144" s="9" t="s">
        <v>85</v>
      </c>
      <c r="I144" s="9"/>
      <c r="J144" s="16" t="s">
        <v>26</v>
      </c>
      <c r="K144" s="16" t="s">
        <v>26</v>
      </c>
    </row>
    <row r="145" ht="15.75" customHeight="1">
      <c r="A145" s="8">
        <v>144.0</v>
      </c>
      <c r="B145" s="9" t="s">
        <v>416</v>
      </c>
      <c r="C145" s="10" t="s">
        <v>417</v>
      </c>
      <c r="D145" s="11">
        <v>318.0</v>
      </c>
      <c r="E145" s="8">
        <v>4.0</v>
      </c>
      <c r="F145" s="11">
        <v>39489.0</v>
      </c>
      <c r="G145" s="10" t="s">
        <v>43</v>
      </c>
      <c r="H145" s="9" t="s">
        <v>116</v>
      </c>
      <c r="I145" s="9"/>
      <c r="J145" s="16" t="s">
        <v>26</v>
      </c>
      <c r="K145" s="16" t="s">
        <v>26</v>
      </c>
    </row>
    <row r="146" ht="15.75" customHeight="1">
      <c r="A146" s="8">
        <v>145.0</v>
      </c>
      <c r="B146" s="9" t="s">
        <v>418</v>
      </c>
      <c r="C146" s="10" t="s">
        <v>419</v>
      </c>
      <c r="D146" s="11">
        <v>1902.0</v>
      </c>
      <c r="E146" s="8">
        <v>4.0</v>
      </c>
      <c r="F146" s="11">
        <v>39435.0</v>
      </c>
      <c r="G146" s="10" t="s">
        <v>43</v>
      </c>
      <c r="H146" s="9" t="s">
        <v>46</v>
      </c>
      <c r="I146" s="9"/>
      <c r="J146" s="16" t="s">
        <v>26</v>
      </c>
      <c r="K146" s="16" t="s">
        <v>26</v>
      </c>
    </row>
    <row r="147" ht="15.75" customHeight="1">
      <c r="A147" s="8">
        <v>146.0</v>
      </c>
      <c r="B147" s="23" t="s">
        <v>420</v>
      </c>
      <c r="C147" s="10" t="s">
        <v>421</v>
      </c>
      <c r="D147" s="11">
        <v>2946.0</v>
      </c>
      <c r="E147" s="8">
        <v>4.0</v>
      </c>
      <c r="F147" s="11">
        <v>39336.0</v>
      </c>
      <c r="G147" s="10" t="s">
        <v>43</v>
      </c>
      <c r="H147" s="9" t="s">
        <v>32</v>
      </c>
      <c r="I147" s="9"/>
      <c r="J147" s="16" t="s">
        <v>26</v>
      </c>
      <c r="K147" s="16" t="s">
        <v>26</v>
      </c>
    </row>
    <row r="148" ht="15.75" customHeight="1">
      <c r="A148" s="8">
        <v>147.0</v>
      </c>
      <c r="B148" s="9" t="s">
        <v>422</v>
      </c>
      <c r="C148" s="10" t="s">
        <v>423</v>
      </c>
      <c r="D148" s="11">
        <v>1822.0</v>
      </c>
      <c r="E148" s="8">
        <v>3.0</v>
      </c>
      <c r="F148" s="11">
        <v>39286.0</v>
      </c>
      <c r="G148" s="10" t="s">
        <v>43</v>
      </c>
      <c r="H148" s="9" t="s">
        <v>21</v>
      </c>
      <c r="I148" s="9"/>
      <c r="J148" s="16" t="s">
        <v>26</v>
      </c>
      <c r="K148" s="16" t="s">
        <v>26</v>
      </c>
    </row>
    <row r="149" ht="15.75" customHeight="1">
      <c r="A149" s="8">
        <v>148.0</v>
      </c>
      <c r="B149" s="9" t="s">
        <v>424</v>
      </c>
      <c r="C149" s="10" t="s">
        <v>425</v>
      </c>
      <c r="D149" s="11">
        <v>6008.0</v>
      </c>
      <c r="E149" s="8">
        <v>3.0</v>
      </c>
      <c r="F149" s="11">
        <v>38784.0</v>
      </c>
      <c r="G149" s="10" t="s">
        <v>43</v>
      </c>
      <c r="H149" s="9" t="s">
        <v>320</v>
      </c>
      <c r="I149" s="9"/>
      <c r="J149" s="16" t="s">
        <v>26</v>
      </c>
      <c r="K149" s="16" t="s">
        <v>26</v>
      </c>
    </row>
    <row r="150" ht="15.75" customHeight="1">
      <c r="A150" s="8">
        <v>149.0</v>
      </c>
      <c r="B150" s="9" t="s">
        <v>426</v>
      </c>
      <c r="C150" s="10" t="s">
        <v>427</v>
      </c>
      <c r="D150" s="11">
        <v>353.0</v>
      </c>
      <c r="E150" s="8">
        <v>6.0</v>
      </c>
      <c r="F150" s="11">
        <v>38344.0</v>
      </c>
      <c r="G150" s="10" t="s">
        <v>43</v>
      </c>
      <c r="H150" s="9" t="s">
        <v>32</v>
      </c>
      <c r="I150" s="9"/>
      <c r="J150" s="16" t="s">
        <v>26</v>
      </c>
      <c r="K150" s="16" t="s">
        <v>26</v>
      </c>
    </row>
    <row r="151" ht="15.75" customHeight="1">
      <c r="A151" s="8">
        <v>150.0</v>
      </c>
      <c r="B151" s="9" t="s">
        <v>428</v>
      </c>
      <c r="C151" s="10" t="s">
        <v>429</v>
      </c>
      <c r="D151" s="11">
        <v>393.0</v>
      </c>
      <c r="E151" s="8">
        <v>6.0</v>
      </c>
      <c r="F151" s="11">
        <v>38247.0</v>
      </c>
      <c r="G151" s="10" t="s">
        <v>43</v>
      </c>
      <c r="H151" s="9" t="s">
        <v>32</v>
      </c>
      <c r="I151" s="9" t="s">
        <v>430</v>
      </c>
      <c r="J151" s="16" t="s">
        <v>26</v>
      </c>
      <c r="K151" s="16" t="s">
        <v>26</v>
      </c>
    </row>
    <row r="152" ht="15.75" customHeight="1">
      <c r="A152" s="8">
        <v>151.0</v>
      </c>
      <c r="B152" s="9" t="s">
        <v>431</v>
      </c>
      <c r="C152" s="10" t="s">
        <v>432</v>
      </c>
      <c r="D152" s="11">
        <v>318.0</v>
      </c>
      <c r="E152" s="8">
        <v>3.0</v>
      </c>
      <c r="F152" s="11">
        <v>37741.0</v>
      </c>
      <c r="G152" s="10" t="s">
        <v>43</v>
      </c>
      <c r="H152" s="9" t="s">
        <v>32</v>
      </c>
      <c r="I152" s="9"/>
      <c r="J152" s="16" t="s">
        <v>26</v>
      </c>
      <c r="K152" s="16" t="s">
        <v>26</v>
      </c>
    </row>
    <row r="153" ht="15.75" customHeight="1">
      <c r="A153" s="8">
        <v>152.0</v>
      </c>
      <c r="B153" s="9" t="s">
        <v>433</v>
      </c>
      <c r="C153" s="10" t="s">
        <v>434</v>
      </c>
      <c r="D153" s="11">
        <v>261.0</v>
      </c>
      <c r="E153" s="8">
        <v>6.0</v>
      </c>
      <c r="F153" s="11">
        <v>37541.0</v>
      </c>
      <c r="G153" s="10" t="s">
        <v>43</v>
      </c>
      <c r="H153" s="9" t="s">
        <v>32</v>
      </c>
      <c r="I153" s="9"/>
      <c r="J153" s="16" t="s">
        <v>26</v>
      </c>
      <c r="K153" s="16" t="s">
        <v>26</v>
      </c>
    </row>
    <row r="154" ht="15.75" customHeight="1">
      <c r="A154" s="8">
        <v>153.0</v>
      </c>
      <c r="B154" s="9" t="s">
        <v>435</v>
      </c>
      <c r="C154" s="10" t="s">
        <v>436</v>
      </c>
      <c r="D154" s="11">
        <v>397.0</v>
      </c>
      <c r="E154" s="8">
        <v>5.0</v>
      </c>
      <c r="F154" s="11">
        <v>37288.0</v>
      </c>
      <c r="G154" s="10" t="s">
        <v>43</v>
      </c>
      <c r="H154" s="9" t="s">
        <v>32</v>
      </c>
      <c r="I154" s="9"/>
      <c r="J154" s="16" t="s">
        <v>26</v>
      </c>
      <c r="K154" s="16" t="s">
        <v>26</v>
      </c>
    </row>
    <row r="155" ht="15.75" customHeight="1">
      <c r="A155" s="8">
        <v>154.0</v>
      </c>
      <c r="B155" s="9" t="s">
        <v>437</v>
      </c>
      <c r="C155" s="10" t="s">
        <v>438</v>
      </c>
      <c r="D155" s="11">
        <v>6046.0</v>
      </c>
      <c r="E155" s="8">
        <v>4.0</v>
      </c>
      <c r="F155" s="11">
        <v>36998.0</v>
      </c>
      <c r="G155" s="10" t="s">
        <v>43</v>
      </c>
      <c r="H155" s="9" t="s">
        <v>231</v>
      </c>
      <c r="I155" s="9"/>
      <c r="J155" s="16" t="s">
        <v>26</v>
      </c>
      <c r="K155" s="16" t="s">
        <v>26</v>
      </c>
    </row>
    <row r="156" ht="15.75" customHeight="1">
      <c r="A156" s="8">
        <v>155.0</v>
      </c>
      <c r="B156" s="9" t="s">
        <v>439</v>
      </c>
      <c r="C156" s="10" t="s">
        <v>440</v>
      </c>
      <c r="D156" s="11">
        <v>3285.0</v>
      </c>
      <c r="E156" s="8">
        <v>5.0</v>
      </c>
      <c r="F156" s="11">
        <v>36854.0</v>
      </c>
      <c r="G156" s="10" t="s">
        <v>43</v>
      </c>
      <c r="H156" s="9" t="s">
        <v>46</v>
      </c>
      <c r="I156" s="9"/>
      <c r="J156" s="16" t="s">
        <v>26</v>
      </c>
      <c r="K156" s="16" t="s">
        <v>26</v>
      </c>
    </row>
    <row r="157" ht="15.75" customHeight="1">
      <c r="A157" s="8">
        <v>156.0</v>
      </c>
      <c r="B157" s="9" t="s">
        <v>441</v>
      </c>
      <c r="C157" s="10" t="s">
        <v>442</v>
      </c>
      <c r="D157" s="11">
        <v>1176.0</v>
      </c>
      <c r="E157" s="8">
        <v>5.0</v>
      </c>
      <c r="F157" s="11">
        <v>36448.0</v>
      </c>
      <c r="G157" s="10" t="s">
        <v>43</v>
      </c>
      <c r="H157" s="9" t="s">
        <v>186</v>
      </c>
      <c r="I157" s="9"/>
      <c r="J157" s="16" t="s">
        <v>26</v>
      </c>
      <c r="K157" s="16" t="s">
        <v>26</v>
      </c>
    </row>
    <row r="158" ht="15.75" customHeight="1">
      <c r="A158" s="8">
        <v>157.0</v>
      </c>
      <c r="B158" s="9" t="s">
        <v>443</v>
      </c>
      <c r="C158" s="10" t="s">
        <v>444</v>
      </c>
      <c r="D158" s="11">
        <v>599.0</v>
      </c>
      <c r="E158" s="8">
        <v>4.0</v>
      </c>
      <c r="F158" s="11">
        <v>36323.0</v>
      </c>
      <c r="G158" s="10" t="s">
        <v>43</v>
      </c>
      <c r="H158" s="9" t="s">
        <v>445</v>
      </c>
      <c r="I158" s="9"/>
      <c r="J158" s="16" t="s">
        <v>26</v>
      </c>
      <c r="K158" s="16" t="s">
        <v>26</v>
      </c>
    </row>
    <row r="159" ht="15.75" customHeight="1">
      <c r="A159" s="8">
        <v>158.0</v>
      </c>
      <c r="B159" s="9" t="s">
        <v>446</v>
      </c>
      <c r="C159" s="10" t="s">
        <v>447</v>
      </c>
      <c r="D159" s="11">
        <v>188.0</v>
      </c>
      <c r="E159" s="8">
        <v>3.0</v>
      </c>
      <c r="F159" s="11">
        <v>35937.0</v>
      </c>
      <c r="G159" s="10" t="s">
        <v>43</v>
      </c>
      <c r="H159" s="9" t="s">
        <v>32</v>
      </c>
      <c r="I159" s="9"/>
      <c r="J159" s="16" t="s">
        <v>26</v>
      </c>
      <c r="K159" s="16" t="s">
        <v>26</v>
      </c>
    </row>
    <row r="160" ht="15.75" customHeight="1">
      <c r="A160" s="8">
        <v>159.0</v>
      </c>
      <c r="B160" s="9" t="s">
        <v>448</v>
      </c>
      <c r="C160" s="10" t="s">
        <v>449</v>
      </c>
      <c r="D160" s="11">
        <v>47.0</v>
      </c>
      <c r="E160" s="8">
        <v>6.0</v>
      </c>
      <c r="F160" s="11">
        <v>35607.0</v>
      </c>
      <c r="G160" s="10" t="s">
        <v>43</v>
      </c>
      <c r="H160" s="9" t="s">
        <v>21</v>
      </c>
      <c r="I160" s="9"/>
      <c r="J160" s="16" t="s">
        <v>26</v>
      </c>
      <c r="K160" s="16" t="s">
        <v>26</v>
      </c>
    </row>
    <row r="161" ht="15.75" customHeight="1">
      <c r="A161" s="8">
        <v>160.0</v>
      </c>
      <c r="B161" s="9" t="s">
        <v>450</v>
      </c>
      <c r="C161" s="10" t="s">
        <v>451</v>
      </c>
      <c r="D161" s="11">
        <v>1306.0</v>
      </c>
      <c r="E161" s="8">
        <v>5.0</v>
      </c>
      <c r="F161" s="11">
        <v>35385.0</v>
      </c>
      <c r="G161" s="10" t="s">
        <v>43</v>
      </c>
      <c r="H161" s="9" t="s">
        <v>21</v>
      </c>
      <c r="I161" s="9" t="s">
        <v>452</v>
      </c>
      <c r="J161" s="16" t="s">
        <v>26</v>
      </c>
      <c r="K161" s="16" t="s">
        <v>26</v>
      </c>
    </row>
    <row r="162" ht="15.75" customHeight="1">
      <c r="A162" s="8">
        <v>161.0</v>
      </c>
      <c r="B162" s="9" t="s">
        <v>453</v>
      </c>
      <c r="C162" s="10" t="s">
        <v>454</v>
      </c>
      <c r="D162" s="11">
        <v>1034.0</v>
      </c>
      <c r="E162" s="8">
        <v>6.0</v>
      </c>
      <c r="F162" s="11">
        <v>35115.0</v>
      </c>
      <c r="G162" s="10" t="s">
        <v>43</v>
      </c>
      <c r="H162" s="9" t="s">
        <v>46</v>
      </c>
      <c r="I162" s="9"/>
      <c r="J162" s="16" t="s">
        <v>26</v>
      </c>
      <c r="K162" s="16" t="s">
        <v>26</v>
      </c>
    </row>
    <row r="163" ht="15.75" customHeight="1">
      <c r="A163" s="8">
        <v>162.0</v>
      </c>
      <c r="B163" s="9" t="s">
        <v>455</v>
      </c>
      <c r="C163" s="10" t="s">
        <v>456</v>
      </c>
      <c r="D163" s="11">
        <v>543.0</v>
      </c>
      <c r="E163" s="8">
        <v>6.0</v>
      </c>
      <c r="F163" s="11">
        <v>35088.0</v>
      </c>
      <c r="G163" s="10" t="s">
        <v>43</v>
      </c>
      <c r="H163" s="9" t="s">
        <v>32</v>
      </c>
      <c r="I163" s="9"/>
      <c r="J163" s="16" t="s">
        <v>26</v>
      </c>
      <c r="K163" s="16" t="s">
        <v>26</v>
      </c>
    </row>
    <row r="164" ht="15.75" customHeight="1">
      <c r="A164" s="8">
        <v>163.0</v>
      </c>
      <c r="B164" s="9" t="s">
        <v>457</v>
      </c>
      <c r="C164" s="10" t="s">
        <v>458</v>
      </c>
      <c r="D164" s="11">
        <v>1042.0</v>
      </c>
      <c r="E164" s="8">
        <v>6.0</v>
      </c>
      <c r="F164" s="11">
        <v>34805.0</v>
      </c>
      <c r="G164" s="10" t="s">
        <v>43</v>
      </c>
      <c r="H164" s="9" t="s">
        <v>85</v>
      </c>
      <c r="I164" s="9"/>
      <c r="J164" s="16" t="s">
        <v>26</v>
      </c>
      <c r="K164" s="16" t="s">
        <v>26</v>
      </c>
    </row>
    <row r="165" ht="15.75" customHeight="1">
      <c r="A165" s="8">
        <v>164.0</v>
      </c>
      <c r="B165" s="23" t="s">
        <v>459</v>
      </c>
      <c r="C165" s="10" t="s">
        <v>460</v>
      </c>
      <c r="D165" s="11">
        <v>1766.0</v>
      </c>
      <c r="E165" s="8">
        <v>6.0</v>
      </c>
      <c r="F165" s="11">
        <v>34799.0</v>
      </c>
      <c r="G165" s="10" t="s">
        <v>43</v>
      </c>
      <c r="H165" s="9" t="s">
        <v>461</v>
      </c>
      <c r="I165" s="9"/>
      <c r="J165" s="16" t="s">
        <v>26</v>
      </c>
      <c r="K165" s="16" t="s">
        <v>26</v>
      </c>
    </row>
    <row r="166" ht="15.75" customHeight="1">
      <c r="A166" s="8">
        <v>165.0</v>
      </c>
      <c r="B166" s="9" t="s">
        <v>462</v>
      </c>
      <c r="C166" s="10" t="s">
        <v>463</v>
      </c>
      <c r="D166" s="11">
        <v>704.0</v>
      </c>
      <c r="E166" s="8">
        <v>3.0</v>
      </c>
      <c r="F166" s="11">
        <v>34792.0</v>
      </c>
      <c r="G166" s="10" t="s">
        <v>43</v>
      </c>
      <c r="H166" s="9" t="s">
        <v>46</v>
      </c>
      <c r="I166" s="9"/>
      <c r="J166" s="16" t="s">
        <v>26</v>
      </c>
      <c r="K166" s="16" t="s">
        <v>26</v>
      </c>
    </row>
    <row r="167" ht="15.75" customHeight="1">
      <c r="A167" s="8">
        <v>166.0</v>
      </c>
      <c r="B167" s="9" t="s">
        <v>464</v>
      </c>
      <c r="C167" s="10" t="s">
        <v>465</v>
      </c>
      <c r="D167" s="11">
        <v>3844.0</v>
      </c>
      <c r="E167" s="8">
        <v>3.0</v>
      </c>
      <c r="F167" s="11">
        <v>34654.0</v>
      </c>
      <c r="G167" s="10" t="s">
        <v>43</v>
      </c>
      <c r="H167" s="9" t="s">
        <v>320</v>
      </c>
      <c r="I167" s="9" t="s">
        <v>466</v>
      </c>
      <c r="J167" s="16" t="s">
        <v>26</v>
      </c>
      <c r="K167" s="16" t="s">
        <v>26</v>
      </c>
    </row>
    <row r="168" ht="15.75" customHeight="1">
      <c r="A168" s="8">
        <v>167.0</v>
      </c>
      <c r="B168" s="9" t="s">
        <v>467</v>
      </c>
      <c r="C168" s="10" t="s">
        <v>468</v>
      </c>
      <c r="D168" s="11">
        <v>2245.0</v>
      </c>
      <c r="E168" s="8">
        <v>2.0</v>
      </c>
      <c r="F168" s="11">
        <v>34618.0</v>
      </c>
      <c r="G168" s="10" t="s">
        <v>43</v>
      </c>
      <c r="H168" s="9" t="s">
        <v>32</v>
      </c>
      <c r="I168" s="9"/>
      <c r="J168" s="16" t="s">
        <v>26</v>
      </c>
      <c r="K168" s="16" t="s">
        <v>26</v>
      </c>
    </row>
    <row r="169" ht="15.75" customHeight="1">
      <c r="A169" s="8">
        <v>168.0</v>
      </c>
      <c r="B169" s="9" t="s">
        <v>469</v>
      </c>
      <c r="C169" s="10" t="s">
        <v>470</v>
      </c>
      <c r="D169" s="11">
        <v>431.0</v>
      </c>
      <c r="E169" s="8">
        <v>6.0</v>
      </c>
      <c r="F169" s="11">
        <v>34618.0</v>
      </c>
      <c r="G169" s="10" t="s">
        <v>43</v>
      </c>
      <c r="H169" s="9" t="s">
        <v>116</v>
      </c>
      <c r="I169" s="9"/>
      <c r="J169" s="16" t="s">
        <v>26</v>
      </c>
      <c r="K169" s="16" t="s">
        <v>26</v>
      </c>
    </row>
    <row r="170" ht="15.75" customHeight="1">
      <c r="A170" s="8">
        <v>169.0</v>
      </c>
      <c r="B170" s="9" t="s">
        <v>471</v>
      </c>
      <c r="C170" s="10" t="s">
        <v>472</v>
      </c>
      <c r="D170" s="11">
        <v>1109.0</v>
      </c>
      <c r="E170" s="8">
        <v>2.0</v>
      </c>
      <c r="F170" s="11">
        <v>34586.0</v>
      </c>
      <c r="G170" s="10" t="s">
        <v>43</v>
      </c>
      <c r="H170" s="9" t="s">
        <v>32</v>
      </c>
      <c r="I170" s="9"/>
      <c r="J170" s="16" t="s">
        <v>26</v>
      </c>
      <c r="K170" s="16" t="s">
        <v>26</v>
      </c>
    </row>
    <row r="171" ht="15.75" customHeight="1">
      <c r="A171" s="8">
        <v>170.0</v>
      </c>
      <c r="B171" s="9" t="s">
        <v>473</v>
      </c>
      <c r="C171" s="10" t="s">
        <v>474</v>
      </c>
      <c r="D171" s="11">
        <v>230.0</v>
      </c>
      <c r="E171" s="8">
        <v>6.0</v>
      </c>
      <c r="F171" s="11">
        <v>34573.0</v>
      </c>
      <c r="G171" s="10" t="s">
        <v>43</v>
      </c>
      <c r="H171" s="9" t="s">
        <v>32</v>
      </c>
      <c r="I171" s="9"/>
      <c r="J171" s="16" t="s">
        <v>26</v>
      </c>
      <c r="K171" s="16" t="s">
        <v>26</v>
      </c>
    </row>
    <row r="172" ht="15.75" customHeight="1">
      <c r="A172" s="8">
        <v>171.0</v>
      </c>
      <c r="B172" s="9" t="s">
        <v>475</v>
      </c>
      <c r="C172" s="10" t="s">
        <v>476</v>
      </c>
      <c r="D172" s="11">
        <v>1794.0</v>
      </c>
      <c r="E172" s="8">
        <v>6.0</v>
      </c>
      <c r="F172" s="11">
        <v>34367.0</v>
      </c>
      <c r="G172" s="10" t="s">
        <v>43</v>
      </c>
      <c r="H172" s="9" t="s">
        <v>186</v>
      </c>
      <c r="I172" s="9"/>
      <c r="J172" s="16" t="s">
        <v>26</v>
      </c>
      <c r="K172" s="16" t="s">
        <v>26</v>
      </c>
    </row>
    <row r="173" ht="15.75" customHeight="1">
      <c r="A173" s="8">
        <v>172.0</v>
      </c>
      <c r="B173" s="9" t="s">
        <v>477</v>
      </c>
      <c r="C173" s="10" t="s">
        <v>478</v>
      </c>
      <c r="D173" s="11">
        <v>5793.0</v>
      </c>
      <c r="E173" s="8">
        <v>2.0</v>
      </c>
      <c r="F173" s="11">
        <v>34285.0</v>
      </c>
      <c r="G173" s="10" t="s">
        <v>43</v>
      </c>
      <c r="H173" s="9" t="s">
        <v>231</v>
      </c>
      <c r="I173" s="9"/>
      <c r="J173" s="16" t="s">
        <v>26</v>
      </c>
      <c r="K173" s="16" t="s">
        <v>26</v>
      </c>
    </row>
    <row r="174" ht="15.75" customHeight="1">
      <c r="A174" s="8">
        <v>173.0</v>
      </c>
      <c r="B174" s="9" t="s">
        <v>479</v>
      </c>
      <c r="C174" s="10" t="s">
        <v>480</v>
      </c>
      <c r="D174" s="11">
        <v>976.0</v>
      </c>
      <c r="E174" s="8">
        <v>4.0</v>
      </c>
      <c r="F174" s="11">
        <v>33939.0</v>
      </c>
      <c r="G174" s="10" t="s">
        <v>43</v>
      </c>
      <c r="H174" s="9" t="s">
        <v>32</v>
      </c>
      <c r="I174" s="9"/>
      <c r="J174" s="16" t="s">
        <v>26</v>
      </c>
      <c r="K174" s="16" t="s">
        <v>26</v>
      </c>
    </row>
    <row r="175" ht="15.75" customHeight="1">
      <c r="A175" s="8">
        <v>174.0</v>
      </c>
      <c r="B175" s="23" t="s">
        <v>481</v>
      </c>
      <c r="C175" s="10" t="s">
        <v>482</v>
      </c>
      <c r="D175" s="11">
        <v>1594.0</v>
      </c>
      <c r="E175" s="8">
        <v>6.0</v>
      </c>
      <c r="F175" s="11">
        <v>33881.0</v>
      </c>
      <c r="G175" s="10" t="s">
        <v>43</v>
      </c>
      <c r="H175" s="9" t="s">
        <v>483</v>
      </c>
      <c r="I175" s="9"/>
      <c r="J175" s="16" t="s">
        <v>26</v>
      </c>
      <c r="K175" s="16" t="s">
        <v>26</v>
      </c>
    </row>
    <row r="176" ht="15.75" customHeight="1">
      <c r="A176" s="8">
        <v>175.0</v>
      </c>
      <c r="B176" s="9" t="s">
        <v>484</v>
      </c>
      <c r="C176" s="10" t="s">
        <v>485</v>
      </c>
      <c r="D176" s="11">
        <v>2309.0</v>
      </c>
      <c r="E176" s="8">
        <v>5.0</v>
      </c>
      <c r="F176" s="11">
        <v>33739.0</v>
      </c>
      <c r="G176" s="10" t="s">
        <v>43</v>
      </c>
      <c r="H176" s="9" t="s">
        <v>32</v>
      </c>
      <c r="I176" s="9" t="s">
        <v>486</v>
      </c>
      <c r="J176" s="16" t="s">
        <v>26</v>
      </c>
      <c r="K176" s="16" t="s">
        <v>26</v>
      </c>
    </row>
    <row r="177" ht="15.75" customHeight="1">
      <c r="A177" s="8">
        <v>176.0</v>
      </c>
      <c r="B177" s="9" t="s">
        <v>487</v>
      </c>
      <c r="C177" s="10" t="s">
        <v>488</v>
      </c>
      <c r="D177" s="11">
        <v>1902.0</v>
      </c>
      <c r="E177" s="8">
        <v>6.0</v>
      </c>
      <c r="F177" s="11">
        <v>33654.0</v>
      </c>
      <c r="G177" s="10" t="s">
        <v>43</v>
      </c>
      <c r="H177" s="9" t="s">
        <v>85</v>
      </c>
      <c r="I177" s="9"/>
      <c r="J177" s="16" t="s">
        <v>26</v>
      </c>
      <c r="K177" s="16" t="s">
        <v>26</v>
      </c>
    </row>
    <row r="178" ht="15.75" customHeight="1">
      <c r="A178" s="8">
        <v>177.0</v>
      </c>
      <c r="B178" s="9" t="s">
        <v>489</v>
      </c>
      <c r="C178" s="10" t="s">
        <v>490</v>
      </c>
      <c r="D178" s="11">
        <v>53.0</v>
      </c>
      <c r="E178" s="8">
        <v>5.0</v>
      </c>
      <c r="F178" s="11">
        <v>33455.0</v>
      </c>
      <c r="G178" s="10" t="s">
        <v>43</v>
      </c>
      <c r="H178" s="9" t="s">
        <v>116</v>
      </c>
      <c r="I178" s="9"/>
      <c r="J178" s="16" t="s">
        <v>26</v>
      </c>
      <c r="K178" s="16" t="s">
        <v>26</v>
      </c>
    </row>
    <row r="179" ht="15.75" customHeight="1">
      <c r="A179" s="8">
        <v>178.0</v>
      </c>
      <c r="B179" s="9" t="s">
        <v>491</v>
      </c>
      <c r="C179" s="10" t="s">
        <v>492</v>
      </c>
      <c r="D179" s="11">
        <v>1763.0</v>
      </c>
      <c r="E179" s="8">
        <v>6.0</v>
      </c>
      <c r="F179" s="11">
        <v>33261.0</v>
      </c>
      <c r="G179" s="10" t="s">
        <v>43</v>
      </c>
      <c r="H179" s="9" t="s">
        <v>32</v>
      </c>
      <c r="I179" s="9"/>
      <c r="J179" s="16" t="s">
        <v>26</v>
      </c>
      <c r="K179" s="16" t="s">
        <v>26</v>
      </c>
    </row>
    <row r="180" ht="15.75" customHeight="1">
      <c r="A180" s="8">
        <v>179.0</v>
      </c>
      <c r="B180" s="9" t="s">
        <v>493</v>
      </c>
      <c r="C180" s="10" t="s">
        <v>494</v>
      </c>
      <c r="D180" s="11">
        <v>2515.0</v>
      </c>
      <c r="E180" s="8">
        <v>6.0</v>
      </c>
      <c r="F180" s="11">
        <v>33164.0</v>
      </c>
      <c r="G180" s="10" t="s">
        <v>43</v>
      </c>
      <c r="H180" s="9" t="s">
        <v>21</v>
      </c>
      <c r="I180" s="9"/>
      <c r="J180" s="16" t="s">
        <v>26</v>
      </c>
      <c r="K180" s="16" t="s">
        <v>26</v>
      </c>
    </row>
    <row r="181" ht="15.75" customHeight="1">
      <c r="A181" s="8">
        <v>180.0</v>
      </c>
      <c r="B181" s="9" t="s">
        <v>495</v>
      </c>
      <c r="C181" s="10" t="s">
        <v>496</v>
      </c>
      <c r="D181" s="11">
        <v>3291.0</v>
      </c>
      <c r="E181" s="8">
        <v>1.0</v>
      </c>
      <c r="F181" s="11">
        <v>33096.0</v>
      </c>
      <c r="G181" s="10" t="s">
        <v>43</v>
      </c>
      <c r="H181" s="9" t="s">
        <v>21</v>
      </c>
      <c r="I181" s="9" t="s">
        <v>497</v>
      </c>
      <c r="J181" s="16" t="s">
        <v>26</v>
      </c>
      <c r="K181" s="16" t="s">
        <v>26</v>
      </c>
    </row>
    <row r="182" ht="15.75" customHeight="1">
      <c r="A182" s="8">
        <v>181.0</v>
      </c>
      <c r="B182" s="9" t="s">
        <v>498</v>
      </c>
      <c r="C182" s="10" t="s">
        <v>499</v>
      </c>
      <c r="D182" s="11">
        <v>2339.0</v>
      </c>
      <c r="E182" s="8">
        <v>3.0</v>
      </c>
      <c r="F182" s="11">
        <v>32914.0</v>
      </c>
      <c r="G182" s="10" t="s">
        <v>43</v>
      </c>
      <c r="H182" s="9" t="s">
        <v>500</v>
      </c>
      <c r="I182" s="9"/>
      <c r="J182" s="16" t="s">
        <v>26</v>
      </c>
      <c r="K182" s="16" t="s">
        <v>26</v>
      </c>
    </row>
    <row r="183" ht="15.75" customHeight="1">
      <c r="A183" s="8">
        <v>182.0</v>
      </c>
      <c r="B183" s="9" t="s">
        <v>501</v>
      </c>
      <c r="C183" s="10" t="s">
        <v>502</v>
      </c>
      <c r="D183" s="11">
        <v>1933.0</v>
      </c>
      <c r="E183" s="8">
        <v>6.0</v>
      </c>
      <c r="F183" s="11">
        <v>32892.0</v>
      </c>
      <c r="G183" s="10" t="s">
        <v>43</v>
      </c>
      <c r="H183" s="9" t="s">
        <v>503</v>
      </c>
      <c r="I183" s="9"/>
      <c r="J183" s="16" t="s">
        <v>26</v>
      </c>
      <c r="K183" s="16" t="s">
        <v>26</v>
      </c>
    </row>
    <row r="184" ht="15.75" customHeight="1">
      <c r="A184" s="8">
        <v>183.0</v>
      </c>
      <c r="B184" s="9" t="s">
        <v>504</v>
      </c>
      <c r="C184" s="10" t="s">
        <v>505</v>
      </c>
      <c r="D184" s="11">
        <v>554.0</v>
      </c>
      <c r="E184" s="8">
        <v>6.0</v>
      </c>
      <c r="F184" s="11">
        <v>32625.0</v>
      </c>
      <c r="G184" s="10" t="s">
        <v>43</v>
      </c>
      <c r="H184" s="9" t="s">
        <v>46</v>
      </c>
      <c r="I184" s="9"/>
      <c r="J184" s="16" t="s">
        <v>26</v>
      </c>
      <c r="K184" s="16" t="s">
        <v>26</v>
      </c>
    </row>
    <row r="185" ht="15.75" customHeight="1">
      <c r="A185" s="8">
        <v>184.0</v>
      </c>
      <c r="B185" s="9" t="s">
        <v>506</v>
      </c>
      <c r="C185" s="10" t="s">
        <v>507</v>
      </c>
      <c r="D185" s="11">
        <v>1461.0</v>
      </c>
      <c r="E185" s="8">
        <v>1.0</v>
      </c>
      <c r="F185" s="11">
        <v>32376.0</v>
      </c>
      <c r="G185" s="10" t="s">
        <v>43</v>
      </c>
      <c r="H185" s="9" t="s">
        <v>32</v>
      </c>
      <c r="I185" s="9"/>
      <c r="J185" s="16" t="s">
        <v>26</v>
      </c>
      <c r="K185" s="16" t="s">
        <v>26</v>
      </c>
    </row>
    <row r="186" ht="15.75" customHeight="1">
      <c r="A186" s="8">
        <v>185.0</v>
      </c>
      <c r="B186" s="9" t="s">
        <v>508</v>
      </c>
      <c r="C186" s="10" t="s">
        <v>509</v>
      </c>
      <c r="D186" s="11">
        <v>4399.0</v>
      </c>
      <c r="E186" s="8">
        <v>6.0</v>
      </c>
      <c r="F186" s="11">
        <v>32224.0</v>
      </c>
      <c r="G186" s="10" t="s">
        <v>43</v>
      </c>
      <c r="H186" s="9" t="s">
        <v>231</v>
      </c>
      <c r="I186" s="9"/>
      <c r="J186" s="16" t="s">
        <v>26</v>
      </c>
      <c r="K186" s="16" t="s">
        <v>26</v>
      </c>
    </row>
    <row r="187" ht="15.75" customHeight="1">
      <c r="A187" s="8">
        <v>186.0</v>
      </c>
      <c r="B187" s="9" t="s">
        <v>510</v>
      </c>
      <c r="C187" s="10" t="s">
        <v>511</v>
      </c>
      <c r="D187" s="11">
        <v>8.0</v>
      </c>
      <c r="E187" s="8">
        <v>6.0</v>
      </c>
      <c r="F187" s="11">
        <v>32187.0</v>
      </c>
      <c r="G187" s="10" t="s">
        <v>43</v>
      </c>
      <c r="H187" s="9" t="s">
        <v>116</v>
      </c>
      <c r="I187" s="9"/>
      <c r="J187" s="16" t="s">
        <v>26</v>
      </c>
      <c r="K187" s="16" t="s">
        <v>26</v>
      </c>
    </row>
    <row r="188" ht="15.75" customHeight="1">
      <c r="A188" s="8">
        <v>187.0</v>
      </c>
      <c r="B188" s="9" t="s">
        <v>512</v>
      </c>
      <c r="C188" s="10" t="s">
        <v>513</v>
      </c>
      <c r="D188" s="11">
        <v>152.0</v>
      </c>
      <c r="E188" s="8">
        <v>6.0</v>
      </c>
      <c r="F188" s="11">
        <v>32007.0</v>
      </c>
      <c r="G188" s="10" t="s">
        <v>43</v>
      </c>
      <c r="H188" s="9" t="s">
        <v>32</v>
      </c>
      <c r="I188" s="9"/>
      <c r="J188" s="16" t="s">
        <v>26</v>
      </c>
      <c r="K188" s="16" t="s">
        <v>26</v>
      </c>
    </row>
    <row r="189" ht="15.75" customHeight="1">
      <c r="A189" s="8">
        <v>188.0</v>
      </c>
      <c r="B189" s="9" t="s">
        <v>514</v>
      </c>
      <c r="C189" s="10" t="s">
        <v>515</v>
      </c>
      <c r="D189" s="11">
        <v>1981.0</v>
      </c>
      <c r="E189" s="8">
        <v>3.0</v>
      </c>
      <c r="F189" s="11">
        <v>31963.0</v>
      </c>
      <c r="G189" s="10" t="s">
        <v>43</v>
      </c>
      <c r="H189" s="9" t="s">
        <v>21</v>
      </c>
      <c r="I189" s="9"/>
      <c r="J189" s="16" t="s">
        <v>26</v>
      </c>
      <c r="K189" s="16" t="s">
        <v>26</v>
      </c>
    </row>
    <row r="190" ht="15.75" customHeight="1">
      <c r="A190" s="8">
        <v>189.0</v>
      </c>
      <c r="B190" s="9" t="s">
        <v>516</v>
      </c>
      <c r="C190" s="10" t="s">
        <v>517</v>
      </c>
      <c r="D190" s="11">
        <v>1005.0</v>
      </c>
      <c r="E190" s="8">
        <v>4.0</v>
      </c>
      <c r="F190" s="11">
        <v>31665.0</v>
      </c>
      <c r="G190" s="10" t="s">
        <v>43</v>
      </c>
      <c r="H190" s="9" t="s">
        <v>32</v>
      </c>
      <c r="I190" s="9"/>
      <c r="J190" s="16" t="s">
        <v>26</v>
      </c>
      <c r="K190" s="16" t="s">
        <v>26</v>
      </c>
    </row>
    <row r="191" ht="15.75" customHeight="1">
      <c r="A191" s="8">
        <v>190.0</v>
      </c>
      <c r="B191" s="9" t="s">
        <v>518</v>
      </c>
      <c r="C191" s="10" t="s">
        <v>519</v>
      </c>
      <c r="D191" s="11">
        <v>305.0</v>
      </c>
      <c r="E191" s="8">
        <v>6.0</v>
      </c>
      <c r="F191" s="11">
        <v>31503.0</v>
      </c>
      <c r="G191" s="10" t="s">
        <v>43</v>
      </c>
      <c r="H191" s="9" t="s">
        <v>32</v>
      </c>
      <c r="I191" s="9"/>
      <c r="J191" s="16" t="s">
        <v>26</v>
      </c>
      <c r="K191" s="16" t="s">
        <v>26</v>
      </c>
    </row>
    <row r="192" ht="15.75" customHeight="1">
      <c r="A192" s="8">
        <v>191.0</v>
      </c>
      <c r="B192" s="9" t="s">
        <v>520</v>
      </c>
      <c r="C192" s="10" t="s">
        <v>521</v>
      </c>
      <c r="D192" s="11">
        <v>579.0</v>
      </c>
      <c r="E192" s="8">
        <v>6.0</v>
      </c>
      <c r="F192" s="11">
        <v>31469.0</v>
      </c>
      <c r="G192" s="10" t="s">
        <v>43</v>
      </c>
      <c r="H192" s="9" t="s">
        <v>522</v>
      </c>
      <c r="I192" s="9"/>
      <c r="J192" s="16" t="s">
        <v>26</v>
      </c>
      <c r="K192" s="16" t="s">
        <v>26</v>
      </c>
    </row>
    <row r="193" ht="15.75" customHeight="1">
      <c r="A193" s="8">
        <v>192.0</v>
      </c>
      <c r="B193" s="9" t="s">
        <v>523</v>
      </c>
      <c r="C193" s="10" t="s">
        <v>524</v>
      </c>
      <c r="D193" s="11">
        <v>539.0</v>
      </c>
      <c r="E193" s="8">
        <v>4.0</v>
      </c>
      <c r="F193" s="11">
        <v>31340.0</v>
      </c>
      <c r="G193" s="10" t="s">
        <v>43</v>
      </c>
      <c r="H193" s="9" t="s">
        <v>525</v>
      </c>
      <c r="I193" s="9"/>
      <c r="J193" s="16" t="s">
        <v>26</v>
      </c>
      <c r="K193" s="16" t="s">
        <v>26</v>
      </c>
    </row>
    <row r="194" ht="15.75" customHeight="1">
      <c r="A194" s="8">
        <v>193.0</v>
      </c>
      <c r="B194" s="9" t="s">
        <v>526</v>
      </c>
      <c r="C194" s="10" t="s">
        <v>527</v>
      </c>
      <c r="D194" s="11">
        <v>801.0</v>
      </c>
      <c r="E194" s="8">
        <v>4.0</v>
      </c>
      <c r="F194" s="11">
        <v>31328.0</v>
      </c>
      <c r="G194" s="10" t="s">
        <v>43</v>
      </c>
      <c r="H194" s="9" t="s">
        <v>127</v>
      </c>
      <c r="I194" s="9"/>
      <c r="J194" s="16" t="s">
        <v>26</v>
      </c>
      <c r="K194" s="16" t="s">
        <v>26</v>
      </c>
    </row>
    <row r="195" ht="15.75" customHeight="1">
      <c r="A195" s="8">
        <v>194.0</v>
      </c>
      <c r="B195" s="9" t="s">
        <v>528</v>
      </c>
      <c r="C195" s="10" t="s">
        <v>529</v>
      </c>
      <c r="D195" s="11">
        <v>766.0</v>
      </c>
      <c r="E195" s="8"/>
      <c r="F195" s="11">
        <v>31251.0</v>
      </c>
      <c r="G195" s="10"/>
      <c r="H195" s="9"/>
      <c r="I195" s="9" t="s">
        <v>530</v>
      </c>
      <c r="J195" s="16" t="s">
        <v>26</v>
      </c>
      <c r="K195" s="16" t="s">
        <v>26</v>
      </c>
    </row>
    <row r="196" ht="15.75" customHeight="1">
      <c r="A196" s="8">
        <v>195.0</v>
      </c>
      <c r="B196" s="9" t="s">
        <v>531</v>
      </c>
      <c r="C196" s="10" t="s">
        <v>532</v>
      </c>
      <c r="D196" s="11">
        <v>614.0</v>
      </c>
      <c r="E196" s="8">
        <v>1.0</v>
      </c>
      <c r="F196" s="11">
        <v>31186.0</v>
      </c>
      <c r="G196" s="10" t="s">
        <v>43</v>
      </c>
      <c r="H196" s="9" t="s">
        <v>32</v>
      </c>
      <c r="I196" s="9"/>
      <c r="J196" s="16" t="s">
        <v>26</v>
      </c>
      <c r="K196" s="16" t="s">
        <v>26</v>
      </c>
    </row>
    <row r="197" ht="15.75" customHeight="1">
      <c r="A197" s="8">
        <v>196.0</v>
      </c>
      <c r="B197" s="9" t="s">
        <v>533</v>
      </c>
      <c r="C197" s="10" t="s">
        <v>534</v>
      </c>
      <c r="D197" s="11">
        <v>1542.0</v>
      </c>
      <c r="E197" s="8">
        <v>5.0</v>
      </c>
      <c r="F197" s="11">
        <v>31033.0</v>
      </c>
      <c r="G197" s="10" t="s">
        <v>43</v>
      </c>
      <c r="H197" s="9" t="s">
        <v>535</v>
      </c>
      <c r="I197" s="9"/>
      <c r="J197" s="16" t="s">
        <v>26</v>
      </c>
      <c r="K197" s="16" t="s">
        <v>26</v>
      </c>
    </row>
    <row r="198" ht="15.75" customHeight="1">
      <c r="A198" s="8">
        <v>197.0</v>
      </c>
      <c r="B198" s="9" t="s">
        <v>536</v>
      </c>
      <c r="C198" s="10" t="s">
        <v>537</v>
      </c>
      <c r="D198" s="11">
        <v>860.0</v>
      </c>
      <c r="E198" s="8">
        <v>6.0</v>
      </c>
      <c r="F198" s="11">
        <v>30773.0</v>
      </c>
      <c r="G198" s="10" t="s">
        <v>43</v>
      </c>
      <c r="H198" s="9" t="s">
        <v>214</v>
      </c>
      <c r="I198" s="9"/>
      <c r="J198" s="16" t="s">
        <v>26</v>
      </c>
      <c r="K198" s="16" t="s">
        <v>26</v>
      </c>
    </row>
    <row r="199" ht="15.75" customHeight="1">
      <c r="A199" s="8">
        <v>198.0</v>
      </c>
      <c r="B199" s="9" t="s">
        <v>538</v>
      </c>
      <c r="C199" s="10" t="s">
        <v>539</v>
      </c>
      <c r="D199" s="11">
        <v>1109.0</v>
      </c>
      <c r="E199" s="8">
        <v>6.0</v>
      </c>
      <c r="F199" s="11">
        <v>30367.0</v>
      </c>
      <c r="G199" s="10" t="s">
        <v>43</v>
      </c>
      <c r="H199" s="9" t="s">
        <v>540</v>
      </c>
      <c r="I199" s="9"/>
      <c r="J199" s="16" t="s">
        <v>26</v>
      </c>
      <c r="K199" s="16" t="s">
        <v>26</v>
      </c>
    </row>
    <row r="200" ht="15.75" customHeight="1">
      <c r="A200" s="8">
        <v>199.0</v>
      </c>
      <c r="B200" s="9" t="s">
        <v>541</v>
      </c>
      <c r="C200" s="10" t="s">
        <v>542</v>
      </c>
      <c r="D200" s="11">
        <v>312.0</v>
      </c>
      <c r="E200" s="8">
        <v>5.0</v>
      </c>
      <c r="F200" s="11">
        <v>30298.0</v>
      </c>
      <c r="G200" s="10" t="s">
        <v>43</v>
      </c>
      <c r="H200" s="9" t="s">
        <v>21</v>
      </c>
      <c r="I200" s="9"/>
      <c r="J200" s="16" t="s">
        <v>26</v>
      </c>
      <c r="K200" s="16" t="s">
        <v>26</v>
      </c>
    </row>
    <row r="201" ht="15.75" customHeight="1">
      <c r="A201" s="8">
        <v>200.0</v>
      </c>
      <c r="B201" s="9" t="s">
        <v>543</v>
      </c>
      <c r="C201" s="10" t="s">
        <v>544</v>
      </c>
      <c r="D201" s="11">
        <v>3759.0</v>
      </c>
      <c r="E201" s="8">
        <v>6.0</v>
      </c>
      <c r="F201" s="11">
        <v>30204.0</v>
      </c>
      <c r="G201" s="10" t="s">
        <v>43</v>
      </c>
      <c r="H201" s="9" t="s">
        <v>320</v>
      </c>
      <c r="I201" s="9"/>
      <c r="J201" s="16" t="s">
        <v>26</v>
      </c>
      <c r="K201" s="16" t="s">
        <v>26</v>
      </c>
    </row>
    <row r="202" ht="15.75" customHeight="1">
      <c r="A202" s="8">
        <v>201.0</v>
      </c>
      <c r="B202" s="9" t="s">
        <v>545</v>
      </c>
      <c r="C202" s="10" t="s">
        <v>546</v>
      </c>
      <c r="D202" s="11">
        <v>5119.0</v>
      </c>
      <c r="E202" s="8">
        <v>4.0</v>
      </c>
      <c r="F202" s="11">
        <v>29824.0</v>
      </c>
      <c r="G202" s="10" t="s">
        <v>43</v>
      </c>
      <c r="H202" s="9" t="s">
        <v>547</v>
      </c>
      <c r="I202" s="9"/>
      <c r="J202" s="16" t="s">
        <v>26</v>
      </c>
      <c r="K202" s="16" t="s">
        <v>26</v>
      </c>
    </row>
    <row r="203" ht="15.75" customHeight="1">
      <c r="A203" s="8">
        <v>202.0</v>
      </c>
      <c r="B203" s="9" t="s">
        <v>548</v>
      </c>
      <c r="C203" s="10" t="s">
        <v>549</v>
      </c>
      <c r="D203" s="11">
        <v>251.0</v>
      </c>
      <c r="E203" s="8">
        <v>6.0</v>
      </c>
      <c r="F203" s="11">
        <v>29706.0</v>
      </c>
      <c r="G203" s="10" t="s">
        <v>43</v>
      </c>
      <c r="H203" s="9" t="s">
        <v>57</v>
      </c>
      <c r="I203" s="9"/>
      <c r="J203" s="16" t="s">
        <v>26</v>
      </c>
      <c r="K203" s="16" t="s">
        <v>26</v>
      </c>
    </row>
    <row r="204" ht="15.75" customHeight="1">
      <c r="A204" s="8">
        <v>203.0</v>
      </c>
      <c r="B204" s="9" t="s">
        <v>550</v>
      </c>
      <c r="C204" s="10" t="s">
        <v>551</v>
      </c>
      <c r="D204" s="11">
        <v>3423.0</v>
      </c>
      <c r="E204" s="8">
        <v>4.0</v>
      </c>
      <c r="F204" s="11">
        <v>29670.0</v>
      </c>
      <c r="G204" s="10" t="s">
        <v>43</v>
      </c>
      <c r="H204" s="9" t="s">
        <v>320</v>
      </c>
      <c r="I204" s="9"/>
      <c r="J204" s="16" t="s">
        <v>26</v>
      </c>
      <c r="K204" s="16" t="s">
        <v>26</v>
      </c>
    </row>
    <row r="205" ht="15.75" customHeight="1">
      <c r="A205" s="8">
        <v>204.0</v>
      </c>
      <c r="B205" s="9" t="s">
        <v>552</v>
      </c>
      <c r="C205" s="10" t="s">
        <v>553</v>
      </c>
      <c r="D205" s="11">
        <v>176.0</v>
      </c>
      <c r="E205" s="8">
        <v>6.0</v>
      </c>
      <c r="F205" s="11">
        <v>29483.0</v>
      </c>
      <c r="G205" s="10" t="s">
        <v>43</v>
      </c>
      <c r="H205" s="9" t="s">
        <v>350</v>
      </c>
      <c r="I205" s="9"/>
      <c r="J205" s="16" t="s">
        <v>26</v>
      </c>
      <c r="K205" s="16" t="s">
        <v>26</v>
      </c>
    </row>
    <row r="206" ht="15.75" customHeight="1">
      <c r="A206" s="8">
        <v>205.0</v>
      </c>
      <c r="B206" s="9" t="s">
        <v>554</v>
      </c>
      <c r="C206" s="10" t="s">
        <v>555</v>
      </c>
      <c r="D206" s="11">
        <v>2886.0</v>
      </c>
      <c r="E206" s="8">
        <v>6.0</v>
      </c>
      <c r="F206" s="11">
        <v>28962.0</v>
      </c>
      <c r="G206" s="10" t="s">
        <v>43</v>
      </c>
      <c r="H206" s="9" t="s">
        <v>32</v>
      </c>
      <c r="I206" s="9"/>
      <c r="J206" s="16" t="s">
        <v>26</v>
      </c>
      <c r="K206" s="16" t="s">
        <v>26</v>
      </c>
    </row>
    <row r="207" ht="15.75" customHeight="1">
      <c r="A207" s="8">
        <v>206.0</v>
      </c>
      <c r="B207" s="9" t="s">
        <v>556</v>
      </c>
      <c r="C207" s="10" t="s">
        <v>557</v>
      </c>
      <c r="D207" s="11">
        <v>2935.0</v>
      </c>
      <c r="E207" s="8">
        <v>6.0</v>
      </c>
      <c r="F207" s="11">
        <v>28828.0</v>
      </c>
      <c r="G207" s="10" t="s">
        <v>43</v>
      </c>
      <c r="H207" s="9" t="s">
        <v>320</v>
      </c>
      <c r="I207" s="9"/>
      <c r="J207" s="16" t="s">
        <v>26</v>
      </c>
      <c r="K207" s="16" t="s">
        <v>26</v>
      </c>
    </row>
    <row r="208" ht="15.75" customHeight="1">
      <c r="A208" s="8">
        <v>207.0</v>
      </c>
      <c r="B208" s="23" t="s">
        <v>558</v>
      </c>
      <c r="C208" s="10" t="s">
        <v>559</v>
      </c>
      <c r="D208" s="11">
        <v>1216.0</v>
      </c>
      <c r="E208" s="8">
        <v>6.0</v>
      </c>
      <c r="F208" s="11">
        <v>28465.0</v>
      </c>
      <c r="G208" s="10" t="s">
        <v>43</v>
      </c>
      <c r="H208" s="9" t="s">
        <v>560</v>
      </c>
      <c r="I208" s="9"/>
      <c r="J208" s="16" t="s">
        <v>26</v>
      </c>
      <c r="K208" s="16" t="s">
        <v>26</v>
      </c>
    </row>
    <row r="209" ht="15.75" customHeight="1">
      <c r="A209" s="8">
        <v>208.0</v>
      </c>
      <c r="B209" s="9" t="s">
        <v>561</v>
      </c>
      <c r="C209" s="10" t="s">
        <v>562</v>
      </c>
      <c r="D209" s="11">
        <v>1935.0</v>
      </c>
      <c r="E209" s="8">
        <v>5.0</v>
      </c>
      <c r="F209" s="11">
        <v>28311.0</v>
      </c>
      <c r="G209" s="10" t="s">
        <v>43</v>
      </c>
      <c r="H209" s="9" t="s">
        <v>57</v>
      </c>
      <c r="I209" s="9"/>
      <c r="J209" s="16" t="s">
        <v>26</v>
      </c>
      <c r="K209" s="16" t="s">
        <v>26</v>
      </c>
    </row>
    <row r="210" ht="15.75" customHeight="1">
      <c r="A210" s="8">
        <v>209.0</v>
      </c>
      <c r="B210" s="9" t="s">
        <v>563</v>
      </c>
      <c r="C210" s="10" t="s">
        <v>564</v>
      </c>
      <c r="D210" s="11">
        <v>3.0</v>
      </c>
      <c r="E210" s="8">
        <v>6.0</v>
      </c>
      <c r="F210" s="11">
        <v>27888.0</v>
      </c>
      <c r="G210" s="10" t="s">
        <v>43</v>
      </c>
      <c r="H210" s="9" t="s">
        <v>116</v>
      </c>
      <c r="I210" s="9"/>
      <c r="J210" s="16" t="s">
        <v>26</v>
      </c>
      <c r="K210" s="16" t="s">
        <v>26</v>
      </c>
    </row>
    <row r="211" ht="15.75" customHeight="1">
      <c r="A211" s="8">
        <v>210.0</v>
      </c>
      <c r="B211" s="9" t="s">
        <v>565</v>
      </c>
      <c r="C211" s="10" t="s">
        <v>566</v>
      </c>
      <c r="D211" s="11">
        <v>15.0</v>
      </c>
      <c r="E211" s="8">
        <v>6.0</v>
      </c>
      <c r="F211" s="11">
        <v>27686.0</v>
      </c>
      <c r="G211" s="10" t="s">
        <v>43</v>
      </c>
      <c r="H211" s="9" t="s">
        <v>116</v>
      </c>
      <c r="I211" s="9"/>
      <c r="J211" s="16" t="s">
        <v>26</v>
      </c>
      <c r="K211" s="16" t="s">
        <v>26</v>
      </c>
    </row>
    <row r="212" ht="15.75" customHeight="1">
      <c r="A212" s="8">
        <v>211.0</v>
      </c>
      <c r="B212" s="9" t="s">
        <v>567</v>
      </c>
      <c r="C212" s="10" t="s">
        <v>568</v>
      </c>
      <c r="D212" s="11">
        <v>196.0</v>
      </c>
      <c r="E212" s="8">
        <v>3.0</v>
      </c>
      <c r="F212" s="11">
        <v>27615.0</v>
      </c>
      <c r="G212" s="10" t="s">
        <v>43</v>
      </c>
      <c r="H212" s="9" t="s">
        <v>214</v>
      </c>
      <c r="I212" s="9"/>
      <c r="J212" s="16" t="s">
        <v>26</v>
      </c>
      <c r="K212" s="16" t="s">
        <v>26</v>
      </c>
    </row>
    <row r="213" ht="15.75" customHeight="1">
      <c r="A213" s="8">
        <v>212.0</v>
      </c>
      <c r="B213" s="9" t="s">
        <v>569</v>
      </c>
      <c r="C213" s="10" t="s">
        <v>570</v>
      </c>
      <c r="D213" s="11">
        <v>759.0</v>
      </c>
      <c r="E213" s="8">
        <v>5.0</v>
      </c>
      <c r="F213" s="11">
        <v>27266.0</v>
      </c>
      <c r="G213" s="10" t="s">
        <v>43</v>
      </c>
      <c r="H213" s="9" t="s">
        <v>32</v>
      </c>
      <c r="I213" s="9" t="s">
        <v>571</v>
      </c>
      <c r="J213" s="16" t="s">
        <v>26</v>
      </c>
      <c r="K213" s="16" t="s">
        <v>26</v>
      </c>
    </row>
    <row r="214" ht="15.75" customHeight="1">
      <c r="A214" s="8">
        <v>213.0</v>
      </c>
      <c r="B214" s="9" t="s">
        <v>572</v>
      </c>
      <c r="C214" s="10" t="s">
        <v>573</v>
      </c>
      <c r="D214" s="11">
        <v>54.0</v>
      </c>
      <c r="E214" s="8">
        <v>5.0</v>
      </c>
      <c r="F214" s="11">
        <v>27051.0</v>
      </c>
      <c r="G214" s="10" t="s">
        <v>43</v>
      </c>
      <c r="H214" s="9" t="s">
        <v>116</v>
      </c>
      <c r="I214" s="9"/>
      <c r="J214" s="16" t="s">
        <v>26</v>
      </c>
      <c r="K214" s="16" t="s">
        <v>26</v>
      </c>
    </row>
    <row r="215" ht="15.75" customHeight="1">
      <c r="A215" s="8">
        <v>214.0</v>
      </c>
      <c r="B215" s="9" t="s">
        <v>574</v>
      </c>
      <c r="C215" s="10" t="s">
        <v>575</v>
      </c>
      <c r="D215" s="11">
        <v>4130.0</v>
      </c>
      <c r="E215" s="8">
        <v>4.0</v>
      </c>
      <c r="F215" s="11">
        <v>26646.0</v>
      </c>
      <c r="G215" s="10" t="s">
        <v>43</v>
      </c>
      <c r="H215" s="9" t="s">
        <v>320</v>
      </c>
      <c r="I215" s="9"/>
      <c r="J215" s="16" t="s">
        <v>26</v>
      </c>
      <c r="K215" s="16" t="s">
        <v>26</v>
      </c>
    </row>
    <row r="216" ht="15.75" customHeight="1">
      <c r="A216" s="8">
        <v>215.0</v>
      </c>
      <c r="B216" s="9" t="s">
        <v>576</v>
      </c>
      <c r="C216" s="10" t="s">
        <v>577</v>
      </c>
      <c r="D216" s="11">
        <v>172.0</v>
      </c>
      <c r="E216" s="8">
        <v>6.0</v>
      </c>
      <c r="F216" s="11">
        <v>26637.0</v>
      </c>
      <c r="G216" s="10" t="s">
        <v>43</v>
      </c>
      <c r="H216" s="9" t="s">
        <v>578</v>
      </c>
      <c r="I216" s="9"/>
      <c r="J216" s="16" t="s">
        <v>26</v>
      </c>
      <c r="K216" s="16" t="s">
        <v>26</v>
      </c>
    </row>
    <row r="217" ht="15.75" customHeight="1">
      <c r="A217" s="8">
        <v>216.0</v>
      </c>
      <c r="B217" s="9" t="s">
        <v>579</v>
      </c>
      <c r="C217" s="10" t="s">
        <v>580</v>
      </c>
      <c r="D217" s="11">
        <v>458.0</v>
      </c>
      <c r="E217" s="8">
        <v>4.0</v>
      </c>
      <c r="F217" s="11">
        <v>25667.0</v>
      </c>
      <c r="G217" s="10" t="s">
        <v>43</v>
      </c>
      <c r="H217" s="9" t="s">
        <v>32</v>
      </c>
      <c r="I217" s="9"/>
      <c r="J217" s="16" t="s">
        <v>26</v>
      </c>
      <c r="K217" s="16" t="s">
        <v>26</v>
      </c>
    </row>
    <row r="218" ht="15.75" customHeight="1">
      <c r="A218" s="8">
        <v>217.0</v>
      </c>
      <c r="B218" s="9" t="s">
        <v>581</v>
      </c>
      <c r="C218" s="10" t="s">
        <v>582</v>
      </c>
      <c r="D218" s="11">
        <v>605.0</v>
      </c>
      <c r="E218" s="8">
        <v>6.0</v>
      </c>
      <c r="F218" s="11">
        <v>25020.0</v>
      </c>
      <c r="G218" s="10" t="s">
        <v>43</v>
      </c>
      <c r="H218" s="9" t="s">
        <v>227</v>
      </c>
      <c r="I218" s="9"/>
      <c r="J218" s="16" t="s">
        <v>26</v>
      </c>
      <c r="K218" s="16" t="s">
        <v>26</v>
      </c>
    </row>
    <row r="219" ht="15.75" customHeight="1">
      <c r="A219" s="8">
        <v>218.0</v>
      </c>
      <c r="B219" s="9" t="s">
        <v>583</v>
      </c>
      <c r="C219" s="10" t="s">
        <v>584</v>
      </c>
      <c r="D219" s="11">
        <v>3980.0</v>
      </c>
      <c r="E219" s="8">
        <v>4.0</v>
      </c>
      <c r="F219" s="11">
        <v>23659.0</v>
      </c>
      <c r="G219" s="10" t="s">
        <v>43</v>
      </c>
      <c r="H219" s="9" t="s">
        <v>231</v>
      </c>
      <c r="I219" s="9"/>
      <c r="J219" s="16" t="s">
        <v>26</v>
      </c>
      <c r="K219" s="16" t="s">
        <v>26</v>
      </c>
    </row>
    <row r="220" ht="15.75" customHeight="1">
      <c r="A220" s="8">
        <v>219.0</v>
      </c>
      <c r="B220" s="9" t="s">
        <v>585</v>
      </c>
      <c r="C220" s="10" t="s">
        <v>586</v>
      </c>
      <c r="D220" s="11">
        <v>2188.0</v>
      </c>
      <c r="E220" s="8">
        <v>2.0</v>
      </c>
      <c r="F220" s="11">
        <v>23325.0</v>
      </c>
      <c r="G220" s="10" t="s">
        <v>43</v>
      </c>
      <c r="H220" s="9" t="s">
        <v>32</v>
      </c>
      <c r="I220" s="9"/>
      <c r="J220" s="16" t="s">
        <v>26</v>
      </c>
      <c r="K220" s="16" t="s">
        <v>26</v>
      </c>
    </row>
    <row r="221" ht="15.75" customHeight="1">
      <c r="A221" s="8">
        <v>220.0</v>
      </c>
      <c r="B221" s="9" t="s">
        <v>587</v>
      </c>
      <c r="C221" s="10" t="s">
        <v>588</v>
      </c>
      <c r="D221" s="11">
        <v>941.0</v>
      </c>
      <c r="E221" s="8">
        <v>3.0</v>
      </c>
      <c r="F221" s="11">
        <v>23244.0</v>
      </c>
      <c r="G221" s="10" t="s">
        <v>43</v>
      </c>
      <c r="H221" s="9" t="s">
        <v>21</v>
      </c>
      <c r="I221" s="9"/>
      <c r="J221" s="16" t="s">
        <v>26</v>
      </c>
      <c r="K221" s="16" t="s">
        <v>26</v>
      </c>
    </row>
    <row r="222" ht="15.75" customHeight="1">
      <c r="A222" s="8">
        <v>221.0</v>
      </c>
      <c r="B222" s="9" t="s">
        <v>589</v>
      </c>
      <c r="C222" s="10" t="s">
        <v>590</v>
      </c>
      <c r="D222" s="11">
        <v>802.0</v>
      </c>
      <c r="E222" s="8">
        <v>4.0</v>
      </c>
      <c r="F222" s="11">
        <v>22832.0</v>
      </c>
      <c r="G222" s="10" t="s">
        <v>43</v>
      </c>
      <c r="H222" s="9" t="s">
        <v>32</v>
      </c>
      <c r="I222" s="9"/>
      <c r="J222" s="16" t="s">
        <v>26</v>
      </c>
      <c r="K222" s="16" t="s">
        <v>26</v>
      </c>
    </row>
    <row r="223" ht="15.75" customHeight="1">
      <c r="A223" s="8">
        <v>222.0</v>
      </c>
      <c r="B223" s="9" t="s">
        <v>591</v>
      </c>
      <c r="C223" s="10" t="s">
        <v>592</v>
      </c>
      <c r="D223" s="11">
        <v>3827.0</v>
      </c>
      <c r="E223" s="8">
        <v>4.0</v>
      </c>
      <c r="F223" s="11">
        <v>22431.0</v>
      </c>
      <c r="G223" s="10" t="s">
        <v>43</v>
      </c>
      <c r="H223" s="9" t="s">
        <v>231</v>
      </c>
      <c r="I223" s="9"/>
      <c r="J223" s="16" t="s">
        <v>26</v>
      </c>
      <c r="K223" s="16" t="s">
        <v>26</v>
      </c>
    </row>
    <row r="224" ht="15.75" customHeight="1">
      <c r="A224" s="8">
        <v>223.0</v>
      </c>
      <c r="B224" s="9" t="s">
        <v>593</v>
      </c>
      <c r="C224" s="10" t="s">
        <v>594</v>
      </c>
      <c r="D224" s="11">
        <v>522.0</v>
      </c>
      <c r="E224" s="8">
        <v>6.0</v>
      </c>
      <c r="F224" s="11">
        <v>22429.0</v>
      </c>
      <c r="G224" s="10" t="s">
        <v>43</v>
      </c>
      <c r="H224" s="9" t="s">
        <v>595</v>
      </c>
      <c r="I224" s="9"/>
      <c r="J224" s="16" t="s">
        <v>26</v>
      </c>
      <c r="K224" s="16" t="s">
        <v>26</v>
      </c>
    </row>
    <row r="225" ht="15.75" customHeight="1">
      <c r="A225" s="8">
        <v>224.0</v>
      </c>
      <c r="B225" s="9" t="s">
        <v>596</v>
      </c>
      <c r="C225" s="10" t="s">
        <v>597</v>
      </c>
      <c r="D225" s="11">
        <v>642.0</v>
      </c>
      <c r="E225" s="8">
        <v>2.0</v>
      </c>
      <c r="F225" s="11">
        <v>22087.0</v>
      </c>
      <c r="G225" s="10" t="s">
        <v>43</v>
      </c>
      <c r="H225" s="9" t="s">
        <v>21</v>
      </c>
      <c r="I225" s="9"/>
      <c r="J225" s="16" t="s">
        <v>26</v>
      </c>
      <c r="K225" s="16" t="s">
        <v>26</v>
      </c>
    </row>
    <row r="226" ht="15.75" customHeight="1">
      <c r="A226" s="8">
        <v>225.0</v>
      </c>
      <c r="B226" s="9" t="s">
        <v>598</v>
      </c>
      <c r="C226" s="10" t="s">
        <v>599</v>
      </c>
      <c r="D226" s="11">
        <v>290.0</v>
      </c>
      <c r="E226" s="8">
        <v>6.0</v>
      </c>
      <c r="F226" s="11">
        <v>21834.0</v>
      </c>
      <c r="G226" s="10" t="s">
        <v>43</v>
      </c>
      <c r="H226" s="9" t="s">
        <v>21</v>
      </c>
      <c r="I226" s="9"/>
      <c r="J226" s="16" t="s">
        <v>26</v>
      </c>
      <c r="K226" s="16" t="s">
        <v>26</v>
      </c>
    </row>
    <row r="227" ht="15.75" customHeight="1">
      <c r="A227" s="8">
        <v>226.0</v>
      </c>
      <c r="B227" s="9" t="s">
        <v>600</v>
      </c>
      <c r="C227" s="10" t="s">
        <v>601</v>
      </c>
      <c r="D227" s="11">
        <v>1023.0</v>
      </c>
      <c r="E227" s="8">
        <v>3.0</v>
      </c>
      <c r="F227" s="11">
        <v>21827.0</v>
      </c>
      <c r="G227" s="10" t="s">
        <v>43</v>
      </c>
      <c r="H227" s="9" t="s">
        <v>32</v>
      </c>
      <c r="I227" s="9"/>
      <c r="J227" s="16" t="s">
        <v>26</v>
      </c>
      <c r="K227" s="16" t="s">
        <v>26</v>
      </c>
    </row>
    <row r="228" ht="15.75" customHeight="1">
      <c r="A228" s="8">
        <v>227.0</v>
      </c>
      <c r="B228" s="9" t="s">
        <v>602</v>
      </c>
      <c r="C228" s="10" t="s">
        <v>603</v>
      </c>
      <c r="D228" s="11">
        <v>211.0</v>
      </c>
      <c r="E228" s="8">
        <v>4.0</v>
      </c>
      <c r="F228" s="11">
        <v>21411.0</v>
      </c>
      <c r="G228" s="10" t="s">
        <v>43</v>
      </c>
      <c r="H228" s="9" t="s">
        <v>85</v>
      </c>
      <c r="I228" s="9"/>
      <c r="J228" s="16" t="s">
        <v>26</v>
      </c>
      <c r="K228" s="16" t="s">
        <v>26</v>
      </c>
    </row>
    <row r="229" ht="15.75" customHeight="1">
      <c r="A229" s="8">
        <v>228.0</v>
      </c>
      <c r="B229" s="9" t="s">
        <v>604</v>
      </c>
      <c r="C229" s="10" t="s">
        <v>605</v>
      </c>
      <c r="D229" s="11">
        <v>420.0</v>
      </c>
      <c r="E229" s="8">
        <v>4.0</v>
      </c>
      <c r="F229" s="11">
        <v>21326.0</v>
      </c>
      <c r="G229" s="10" t="s">
        <v>43</v>
      </c>
      <c r="H229" s="9" t="s">
        <v>21</v>
      </c>
      <c r="I229" s="9"/>
      <c r="J229" s="16" t="s">
        <v>26</v>
      </c>
      <c r="K229" s="16" t="s">
        <v>26</v>
      </c>
    </row>
    <row r="230" ht="15.75" customHeight="1">
      <c r="A230" s="8">
        <v>229.0</v>
      </c>
      <c r="B230" s="9" t="s">
        <v>606</v>
      </c>
      <c r="C230" s="10" t="s">
        <v>607</v>
      </c>
      <c r="D230" s="11">
        <v>2757.0</v>
      </c>
      <c r="E230" s="8">
        <v>2.0</v>
      </c>
      <c r="F230" s="11">
        <v>20313.0</v>
      </c>
      <c r="G230" s="10" t="s">
        <v>43</v>
      </c>
      <c r="H230" s="9" t="s">
        <v>231</v>
      </c>
      <c r="I230" s="9"/>
      <c r="J230" s="16" t="s">
        <v>26</v>
      </c>
      <c r="K230" s="16" t="s">
        <v>26</v>
      </c>
    </row>
    <row r="231" ht="15.75" customHeight="1">
      <c r="A231" s="8">
        <v>230.0</v>
      </c>
      <c r="B231" s="9" t="s">
        <v>608</v>
      </c>
      <c r="C231" s="10" t="s">
        <v>609</v>
      </c>
      <c r="D231" s="11">
        <v>1852.0</v>
      </c>
      <c r="E231" s="8">
        <v>4.0</v>
      </c>
      <c r="F231" s="11">
        <v>19180.0</v>
      </c>
      <c r="G231" s="10" t="s">
        <v>43</v>
      </c>
      <c r="H231" s="9" t="s">
        <v>32</v>
      </c>
      <c r="I231" s="9"/>
      <c r="J231" s="16" t="s">
        <v>26</v>
      </c>
      <c r="K231" s="16" t="s">
        <v>26</v>
      </c>
    </row>
    <row r="232" ht="15.75" customHeight="1">
      <c r="A232" s="8">
        <v>231.0</v>
      </c>
      <c r="B232" s="9" t="s">
        <v>610</v>
      </c>
      <c r="C232" s="10" t="s">
        <v>611</v>
      </c>
      <c r="D232" s="11">
        <v>188.0</v>
      </c>
      <c r="E232" s="8">
        <v>6.0</v>
      </c>
      <c r="F232" s="11">
        <v>18256.0</v>
      </c>
      <c r="G232" s="10" t="s">
        <v>43</v>
      </c>
      <c r="H232" s="9" t="s">
        <v>612</v>
      </c>
      <c r="I232" s="9"/>
      <c r="J232" s="16" t="s">
        <v>26</v>
      </c>
      <c r="K232" s="16" t="s">
        <v>26</v>
      </c>
    </row>
    <row r="233" ht="15.75" customHeight="1">
      <c r="A233" s="8">
        <v>232.0</v>
      </c>
      <c r="B233" s="9" t="s">
        <v>613</v>
      </c>
      <c r="C233" s="10" t="s">
        <v>614</v>
      </c>
      <c r="D233" s="11">
        <v>482.0</v>
      </c>
      <c r="E233" s="8">
        <v>3.0</v>
      </c>
      <c r="F233" s="11">
        <v>18036.0</v>
      </c>
      <c r="G233" s="10" t="s">
        <v>43</v>
      </c>
      <c r="H233" s="9" t="s">
        <v>21</v>
      </c>
      <c r="I233" s="9"/>
      <c r="J233" s="16" t="s">
        <v>26</v>
      </c>
      <c r="K233" s="16" t="s">
        <v>26</v>
      </c>
    </row>
    <row r="234" ht="15.75" customHeight="1">
      <c r="A234" s="8">
        <v>233.0</v>
      </c>
      <c r="B234" s="9" t="s">
        <v>615</v>
      </c>
      <c r="C234" s="10" t="s">
        <v>616</v>
      </c>
      <c r="D234" s="11">
        <v>1248.0</v>
      </c>
      <c r="E234" s="8">
        <v>3.0</v>
      </c>
      <c r="F234" s="11">
        <v>17535.0</v>
      </c>
      <c r="G234" s="10" t="s">
        <v>43</v>
      </c>
      <c r="H234" s="9" t="s">
        <v>32</v>
      </c>
      <c r="I234" s="9" t="s">
        <v>617</v>
      </c>
      <c r="J234" s="16" t="s">
        <v>26</v>
      </c>
      <c r="K234" s="16" t="s">
        <v>26</v>
      </c>
    </row>
    <row r="235" ht="15.75" customHeight="1">
      <c r="A235" s="8">
        <v>234.0</v>
      </c>
      <c r="B235" s="9" t="s">
        <v>618</v>
      </c>
      <c r="C235" s="10" t="s">
        <v>619</v>
      </c>
      <c r="D235" s="11">
        <v>2982.0</v>
      </c>
      <c r="E235" s="8">
        <v>4.0</v>
      </c>
      <c r="F235" s="11">
        <v>15691.0</v>
      </c>
      <c r="G235" s="10" t="s">
        <v>43</v>
      </c>
      <c r="H235" s="9" t="s">
        <v>320</v>
      </c>
      <c r="I235" s="9"/>
      <c r="J235" s="16" t="s">
        <v>26</v>
      </c>
      <c r="K235" s="16" t="s">
        <v>26</v>
      </c>
    </row>
    <row r="236" ht="15.75" customHeight="1">
      <c r="A236" s="8">
        <v>235.0</v>
      </c>
      <c r="B236" s="9" t="s">
        <v>620</v>
      </c>
      <c r="C236" s="10" t="s">
        <v>621</v>
      </c>
      <c r="D236" s="11">
        <v>1731.0</v>
      </c>
      <c r="E236" s="8">
        <v>3.0</v>
      </c>
      <c r="F236" s="11">
        <v>15523.0</v>
      </c>
      <c r="G236" s="10" t="s">
        <v>43</v>
      </c>
      <c r="H236" s="9" t="s">
        <v>320</v>
      </c>
      <c r="I236" s="9"/>
      <c r="J236" s="16" t="s">
        <v>26</v>
      </c>
      <c r="K236" s="16" t="s">
        <v>26</v>
      </c>
    </row>
    <row r="237" ht="15.75" customHeight="1">
      <c r="A237" s="8">
        <v>236.0</v>
      </c>
      <c r="B237" s="9" t="s">
        <v>622</v>
      </c>
      <c r="C237" s="10" t="s">
        <v>623</v>
      </c>
      <c r="D237" s="11">
        <v>394.0</v>
      </c>
      <c r="E237" s="8">
        <v>6.0</v>
      </c>
      <c r="F237" s="11">
        <v>15330.0</v>
      </c>
      <c r="G237" s="10" t="s">
        <v>43</v>
      </c>
      <c r="H237" s="9" t="s">
        <v>46</v>
      </c>
      <c r="I237" s="9"/>
      <c r="J237" s="16" t="s">
        <v>26</v>
      </c>
      <c r="K237" s="16" t="s">
        <v>26</v>
      </c>
    </row>
    <row r="238" ht="15.75" customHeight="1">
      <c r="A238" s="8">
        <v>237.0</v>
      </c>
      <c r="B238" s="9" t="s">
        <v>624</v>
      </c>
      <c r="C238" s="10" t="s">
        <v>625</v>
      </c>
      <c r="D238" s="11">
        <v>868.0</v>
      </c>
      <c r="E238" s="8">
        <v>4.0</v>
      </c>
      <c r="F238" s="11">
        <v>15267.0</v>
      </c>
      <c r="G238" s="10" t="s">
        <v>43</v>
      </c>
      <c r="H238" s="9" t="s">
        <v>57</v>
      </c>
      <c r="I238" s="9"/>
      <c r="J238" s="16" t="s">
        <v>26</v>
      </c>
      <c r="K238" s="16" t="s">
        <v>26</v>
      </c>
    </row>
    <row r="239" ht="15.75" customHeight="1">
      <c r="A239" s="8">
        <v>238.0</v>
      </c>
      <c r="B239" s="9" t="s">
        <v>626</v>
      </c>
      <c r="C239" s="10" t="s">
        <v>627</v>
      </c>
      <c r="D239" s="11">
        <v>848.0</v>
      </c>
      <c r="E239" s="8">
        <v>2.0</v>
      </c>
      <c r="F239" s="11">
        <v>15109.0</v>
      </c>
      <c r="G239" s="10" t="s">
        <v>43</v>
      </c>
      <c r="H239" s="9" t="s">
        <v>32</v>
      </c>
      <c r="I239" s="9"/>
      <c r="J239" s="16" t="s">
        <v>26</v>
      </c>
      <c r="K239" s="16" t="s">
        <v>26</v>
      </c>
    </row>
    <row r="240" ht="15.75" customHeight="1">
      <c r="A240" s="8">
        <v>239.0</v>
      </c>
      <c r="B240" s="9" t="s">
        <v>628</v>
      </c>
      <c r="C240" s="10" t="s">
        <v>629</v>
      </c>
      <c r="D240" s="11">
        <v>2236.0</v>
      </c>
      <c r="E240" s="8">
        <v>4.0</v>
      </c>
      <c r="F240" s="11">
        <v>14968.0</v>
      </c>
      <c r="G240" s="10" t="s">
        <v>43</v>
      </c>
      <c r="H240" s="9" t="s">
        <v>320</v>
      </c>
      <c r="I240" s="9"/>
      <c r="J240" s="16" t="s">
        <v>26</v>
      </c>
      <c r="K240" s="16" t="s">
        <v>26</v>
      </c>
    </row>
    <row r="241" ht="15.75" customHeight="1">
      <c r="A241" s="8">
        <v>240.0</v>
      </c>
      <c r="B241" s="9" t="s">
        <v>630</v>
      </c>
      <c r="C241" s="10" t="s">
        <v>631</v>
      </c>
      <c r="D241" s="11">
        <v>3491.0</v>
      </c>
      <c r="E241" s="8">
        <v>6.0</v>
      </c>
      <c r="F241" s="11">
        <v>14867.0</v>
      </c>
      <c r="G241" s="10" t="s">
        <v>43</v>
      </c>
      <c r="H241" s="9" t="s">
        <v>320</v>
      </c>
      <c r="I241" s="9"/>
      <c r="J241" s="16" t="s">
        <v>26</v>
      </c>
      <c r="K241" s="16" t="s">
        <v>26</v>
      </c>
    </row>
    <row r="242" ht="15.75" customHeight="1">
      <c r="A242" s="8">
        <v>241.0</v>
      </c>
      <c r="B242" s="9" t="s">
        <v>632</v>
      </c>
      <c r="C242" s="10" t="s">
        <v>633</v>
      </c>
      <c r="D242" s="11">
        <v>3679.0</v>
      </c>
      <c r="E242" s="8">
        <v>3.0</v>
      </c>
      <c r="F242" s="11">
        <v>14739.0</v>
      </c>
      <c r="G242" s="10" t="s">
        <v>43</v>
      </c>
      <c r="H242" s="9" t="s">
        <v>320</v>
      </c>
      <c r="I242" s="9"/>
      <c r="J242" s="16" t="s">
        <v>26</v>
      </c>
      <c r="K242" s="16" t="s">
        <v>26</v>
      </c>
    </row>
    <row r="243" ht="15.75" customHeight="1">
      <c r="A243" s="8">
        <v>242.0</v>
      </c>
      <c r="B243" s="9" t="s">
        <v>634</v>
      </c>
      <c r="C243" s="10" t="s">
        <v>635</v>
      </c>
      <c r="D243" s="11">
        <v>2497.0</v>
      </c>
      <c r="E243" s="8">
        <v>6.0</v>
      </c>
      <c r="F243" s="11">
        <v>14680.0</v>
      </c>
      <c r="G243" s="10" t="s">
        <v>43</v>
      </c>
      <c r="H243" s="9" t="s">
        <v>231</v>
      </c>
      <c r="I243" s="9"/>
      <c r="J243" s="16" t="s">
        <v>26</v>
      </c>
      <c r="K243" s="16" t="s">
        <v>26</v>
      </c>
    </row>
    <row r="244" ht="15.75" customHeight="1">
      <c r="A244" s="8">
        <v>243.0</v>
      </c>
      <c r="B244" s="9" t="s">
        <v>636</v>
      </c>
      <c r="C244" s="10" t="s">
        <v>637</v>
      </c>
      <c r="D244" s="11">
        <v>874.0</v>
      </c>
      <c r="E244" s="8">
        <v>4.0</v>
      </c>
      <c r="F244" s="11">
        <v>12612.0</v>
      </c>
      <c r="G244" s="10" t="s">
        <v>43</v>
      </c>
      <c r="H244" s="9" t="s">
        <v>32</v>
      </c>
      <c r="I244" s="9"/>
      <c r="J244" s="16" t="s">
        <v>26</v>
      </c>
      <c r="K244" s="16" t="s">
        <v>26</v>
      </c>
    </row>
    <row r="245" ht="15.75" customHeight="1">
      <c r="A245" s="8">
        <v>244.0</v>
      </c>
      <c r="B245" s="9" t="s">
        <v>638</v>
      </c>
      <c r="C245" s="10" t="s">
        <v>639</v>
      </c>
      <c r="D245" s="11">
        <v>6.0</v>
      </c>
      <c r="E245" s="8">
        <v>6.0</v>
      </c>
      <c r="F245" s="11">
        <v>12300.0</v>
      </c>
      <c r="G245" s="10" t="s">
        <v>43</v>
      </c>
      <c r="H245" s="9" t="s">
        <v>116</v>
      </c>
      <c r="I245" s="9"/>
      <c r="J245" s="16" t="s">
        <v>26</v>
      </c>
      <c r="K245" s="16" t="s">
        <v>26</v>
      </c>
    </row>
    <row r="246" ht="15.75" customHeight="1">
      <c r="A246" s="8">
        <v>245.0</v>
      </c>
      <c r="B246" s="9" t="s">
        <v>640</v>
      </c>
      <c r="C246" s="10" t="s">
        <v>641</v>
      </c>
      <c r="D246" s="11">
        <v>115.0</v>
      </c>
      <c r="E246" s="8">
        <v>4.0</v>
      </c>
      <c r="F246" s="11">
        <v>12081.0</v>
      </c>
      <c r="G246" s="10" t="s">
        <v>43</v>
      </c>
      <c r="H246" s="9" t="s">
        <v>32</v>
      </c>
      <c r="I246" s="9"/>
      <c r="J246" s="16" t="s">
        <v>26</v>
      </c>
      <c r="K246" s="16" t="s">
        <v>26</v>
      </c>
    </row>
    <row r="247" ht="15.75" customHeight="1">
      <c r="A247" s="8">
        <v>246.0</v>
      </c>
      <c r="B247" s="9" t="s">
        <v>642</v>
      </c>
      <c r="C247" s="10" t="s">
        <v>643</v>
      </c>
      <c r="D247" s="11">
        <v>1756.0</v>
      </c>
      <c r="E247" s="8">
        <v>3.0</v>
      </c>
      <c r="F247" s="11">
        <v>11689.0</v>
      </c>
      <c r="G247" s="10" t="s">
        <v>43</v>
      </c>
      <c r="H247" s="9" t="s">
        <v>231</v>
      </c>
      <c r="I247" s="9"/>
      <c r="J247" s="16" t="s">
        <v>26</v>
      </c>
      <c r="K247" s="16" t="s">
        <v>26</v>
      </c>
    </row>
    <row r="248" ht="15.75" customHeight="1">
      <c r="A248" s="8">
        <v>247.0</v>
      </c>
      <c r="B248" s="9" t="s">
        <v>644</v>
      </c>
      <c r="C248" s="10" t="s">
        <v>645</v>
      </c>
      <c r="D248" s="11">
        <v>2241.0</v>
      </c>
      <c r="E248" s="8">
        <v>4.0</v>
      </c>
      <c r="F248" s="11">
        <v>11544.0</v>
      </c>
      <c r="G248" s="10" t="s">
        <v>43</v>
      </c>
      <c r="H248" s="9" t="s">
        <v>190</v>
      </c>
      <c r="I248" s="9"/>
      <c r="J248" s="16" t="s">
        <v>26</v>
      </c>
      <c r="K248" s="16" t="s">
        <v>26</v>
      </c>
    </row>
    <row r="249" ht="15.75" customHeight="1">
      <c r="A249" s="8">
        <v>248.0</v>
      </c>
      <c r="B249" s="9" t="s">
        <v>646</v>
      </c>
      <c r="C249" s="10" t="s">
        <v>647</v>
      </c>
      <c r="D249" s="11">
        <v>2473.0</v>
      </c>
      <c r="E249" s="8">
        <v>4.0</v>
      </c>
      <c r="F249" s="11">
        <v>11188.0</v>
      </c>
      <c r="G249" s="10" t="s">
        <v>43</v>
      </c>
      <c r="H249" s="9" t="s">
        <v>190</v>
      </c>
      <c r="I249" s="9"/>
      <c r="J249" s="16" t="s">
        <v>26</v>
      </c>
      <c r="K249" s="16" t="s">
        <v>26</v>
      </c>
    </row>
    <row r="250" ht="15.75" customHeight="1">
      <c r="A250" s="8">
        <v>249.0</v>
      </c>
      <c r="B250" s="23" t="s">
        <v>648</v>
      </c>
      <c r="C250" s="10" t="s">
        <v>649</v>
      </c>
      <c r="D250" s="11">
        <v>1882.0</v>
      </c>
      <c r="E250" s="8">
        <v>4.0</v>
      </c>
      <c r="F250" s="11">
        <v>11086.0</v>
      </c>
      <c r="G250" s="10" t="s">
        <v>43</v>
      </c>
      <c r="H250" s="9" t="s">
        <v>650</v>
      </c>
      <c r="I250" s="9"/>
      <c r="J250" s="16" t="s">
        <v>26</v>
      </c>
      <c r="K250" s="16" t="s">
        <v>26</v>
      </c>
    </row>
    <row r="251" ht="15.75" customHeight="1">
      <c r="A251" s="8">
        <v>250.0</v>
      </c>
      <c r="B251" s="9" t="s">
        <v>651</v>
      </c>
      <c r="C251" s="10" t="s">
        <v>652</v>
      </c>
      <c r="D251" s="11">
        <v>945.0</v>
      </c>
      <c r="E251" s="8">
        <v>6.0</v>
      </c>
      <c r="F251" s="11">
        <v>10744.0</v>
      </c>
      <c r="G251" s="10" t="s">
        <v>43</v>
      </c>
      <c r="H251" s="9" t="s">
        <v>85</v>
      </c>
      <c r="I251" s="9"/>
      <c r="J251" s="16" t="s">
        <v>26</v>
      </c>
      <c r="K251" s="16" t="s">
        <v>26</v>
      </c>
    </row>
    <row r="252" ht="15.75" customHeight="1">
      <c r="A252" s="8">
        <v>251.0</v>
      </c>
      <c r="B252" s="9" t="s">
        <v>653</v>
      </c>
      <c r="C252" s="10" t="s">
        <v>654</v>
      </c>
      <c r="D252" s="11">
        <v>2893.0</v>
      </c>
      <c r="E252" s="8">
        <v>5.0</v>
      </c>
      <c r="F252" s="11">
        <v>10554.0</v>
      </c>
      <c r="G252" s="10" t="s">
        <v>43</v>
      </c>
      <c r="H252" s="9" t="s">
        <v>320</v>
      </c>
      <c r="I252" s="9"/>
      <c r="J252" s="16" t="s">
        <v>26</v>
      </c>
      <c r="K252" s="16" t="s">
        <v>26</v>
      </c>
    </row>
    <row r="253" ht="15.75" customHeight="1">
      <c r="A253" s="8">
        <v>252.0</v>
      </c>
      <c r="B253" s="9" t="s">
        <v>655</v>
      </c>
      <c r="C253" s="10" t="s">
        <v>656</v>
      </c>
      <c r="D253" s="11">
        <v>225.0</v>
      </c>
      <c r="E253" s="8">
        <v>4.0</v>
      </c>
      <c r="F253" s="11">
        <v>10331.0</v>
      </c>
      <c r="G253" s="10" t="s">
        <v>43</v>
      </c>
      <c r="H253" s="9" t="s">
        <v>32</v>
      </c>
      <c r="I253" s="9"/>
      <c r="J253" s="16" t="s">
        <v>26</v>
      </c>
      <c r="K253" s="16" t="s">
        <v>26</v>
      </c>
    </row>
    <row r="254" ht="15.75" customHeight="1">
      <c r="A254" s="8">
        <v>253.0</v>
      </c>
      <c r="B254" s="9" t="s">
        <v>657</v>
      </c>
      <c r="C254" s="10" t="s">
        <v>658</v>
      </c>
      <c r="D254" s="11">
        <v>2259.0</v>
      </c>
      <c r="E254" s="8">
        <v>4.0</v>
      </c>
      <c r="F254" s="11">
        <v>10245.0</v>
      </c>
      <c r="G254" s="10" t="s">
        <v>43</v>
      </c>
      <c r="H254" s="9" t="s">
        <v>231</v>
      </c>
      <c r="I254" s="9"/>
      <c r="J254" s="16" t="s">
        <v>26</v>
      </c>
      <c r="K254" s="16" t="s">
        <v>26</v>
      </c>
    </row>
    <row r="255" ht="15.75" customHeight="1">
      <c r="A255" s="8">
        <v>254.0</v>
      </c>
      <c r="B255" s="9" t="s">
        <v>659</v>
      </c>
      <c r="C255" s="10" t="s">
        <v>660</v>
      </c>
      <c r="D255" s="11">
        <v>836.0</v>
      </c>
      <c r="E255" s="8">
        <v>6.0</v>
      </c>
      <c r="F255" s="11">
        <v>9843.0</v>
      </c>
      <c r="G255" s="10" t="s">
        <v>43</v>
      </c>
      <c r="H255" s="9" t="s">
        <v>32</v>
      </c>
      <c r="I255" s="9"/>
      <c r="J255" s="16" t="s">
        <v>26</v>
      </c>
      <c r="K255" s="16" t="s">
        <v>26</v>
      </c>
    </row>
    <row r="256" ht="15.75" customHeight="1">
      <c r="A256" s="8">
        <v>255.0</v>
      </c>
      <c r="B256" s="9" t="s">
        <v>661</v>
      </c>
      <c r="C256" s="10" t="s">
        <v>662</v>
      </c>
      <c r="D256" s="11">
        <v>732.0</v>
      </c>
      <c r="E256" s="8">
        <v>3.0</v>
      </c>
      <c r="F256" s="11">
        <v>9443.0</v>
      </c>
      <c r="G256" s="10" t="s">
        <v>43</v>
      </c>
      <c r="H256" s="9" t="s">
        <v>85</v>
      </c>
      <c r="I256" s="9"/>
      <c r="J256" s="16" t="s">
        <v>26</v>
      </c>
      <c r="K256" s="16" t="s">
        <v>26</v>
      </c>
    </row>
    <row r="257" ht="15.75" customHeight="1">
      <c r="A257" s="8">
        <v>256.0</v>
      </c>
      <c r="B257" s="9" t="s">
        <v>663</v>
      </c>
      <c r="C257" s="10" t="s">
        <v>664</v>
      </c>
      <c r="D257" s="11">
        <v>469.0</v>
      </c>
      <c r="E257" s="8">
        <v>5.0</v>
      </c>
      <c r="F257" s="11">
        <v>9357.0</v>
      </c>
      <c r="G257" s="10" t="s">
        <v>43</v>
      </c>
      <c r="H257" s="9" t="s">
        <v>32</v>
      </c>
      <c r="I257" s="9"/>
      <c r="J257" s="16" t="s">
        <v>26</v>
      </c>
      <c r="K257" s="16" t="s">
        <v>26</v>
      </c>
    </row>
    <row r="258" ht="15.75" customHeight="1">
      <c r="A258" s="8">
        <v>257.0</v>
      </c>
      <c r="B258" s="9" t="s">
        <v>665</v>
      </c>
      <c r="C258" s="10" t="s">
        <v>666</v>
      </c>
      <c r="D258" s="11">
        <v>1680.0</v>
      </c>
      <c r="E258" s="8">
        <v>2.0</v>
      </c>
      <c r="F258" s="11">
        <v>9338.0</v>
      </c>
      <c r="G258" s="10" t="s">
        <v>43</v>
      </c>
      <c r="H258" s="9" t="s">
        <v>231</v>
      </c>
      <c r="I258" s="9"/>
      <c r="J258" s="16" t="s">
        <v>26</v>
      </c>
      <c r="K258" s="16" t="s">
        <v>26</v>
      </c>
    </row>
    <row r="259" ht="15.75" customHeight="1">
      <c r="A259" s="8">
        <v>258.0</v>
      </c>
      <c r="B259" s="9" t="s">
        <v>667</v>
      </c>
      <c r="C259" s="10" t="s">
        <v>668</v>
      </c>
      <c r="D259" s="11">
        <v>83.0</v>
      </c>
      <c r="E259" s="8">
        <v>4.0</v>
      </c>
      <c r="F259" s="11">
        <v>9188.0</v>
      </c>
      <c r="G259" s="10" t="s">
        <v>43</v>
      </c>
      <c r="H259" s="9" t="s">
        <v>32</v>
      </c>
      <c r="I259" s="9"/>
      <c r="J259" s="16" t="s">
        <v>26</v>
      </c>
      <c r="K259" s="16" t="s">
        <v>26</v>
      </c>
    </row>
    <row r="260" ht="15.75" customHeight="1">
      <c r="A260" s="8">
        <v>259.0</v>
      </c>
      <c r="B260" s="9" t="s">
        <v>669</v>
      </c>
      <c r="C260" s="10" t="s">
        <v>670</v>
      </c>
      <c r="D260" s="11">
        <v>355.0</v>
      </c>
      <c r="E260" s="8">
        <v>6.0</v>
      </c>
      <c r="F260" s="11">
        <v>8856.0</v>
      </c>
      <c r="G260" s="10" t="s">
        <v>43</v>
      </c>
      <c r="H260" s="9" t="s">
        <v>32</v>
      </c>
      <c r="I260" s="9"/>
      <c r="J260" s="16" t="s">
        <v>26</v>
      </c>
      <c r="K260" s="16" t="s">
        <v>26</v>
      </c>
    </row>
    <row r="261" ht="15.75" customHeight="1">
      <c r="A261" s="8">
        <v>260.0</v>
      </c>
      <c r="B261" s="9" t="s">
        <v>671</v>
      </c>
      <c r="C261" s="10" t="s">
        <v>672</v>
      </c>
      <c r="D261" s="11">
        <v>2783.0</v>
      </c>
      <c r="E261" s="8">
        <v>4.0</v>
      </c>
      <c r="F261" s="11">
        <v>8465.0</v>
      </c>
      <c r="G261" s="10" t="s">
        <v>43</v>
      </c>
      <c r="H261" s="9" t="s">
        <v>547</v>
      </c>
      <c r="I261" s="9"/>
      <c r="J261" s="16" t="s">
        <v>26</v>
      </c>
      <c r="K261" s="16" t="s">
        <v>26</v>
      </c>
    </row>
    <row r="262" ht="15.75" customHeight="1">
      <c r="A262" s="8">
        <v>261.0</v>
      </c>
      <c r="B262" s="9" t="s">
        <v>673</v>
      </c>
      <c r="C262" s="10" t="s">
        <v>674</v>
      </c>
      <c r="D262" s="11">
        <v>297.0</v>
      </c>
      <c r="E262" s="8">
        <v>4.0</v>
      </c>
      <c r="F262" s="11">
        <v>7859.0</v>
      </c>
      <c r="G262" s="10" t="s">
        <v>43</v>
      </c>
      <c r="H262" s="9" t="s">
        <v>21</v>
      </c>
      <c r="I262" s="9"/>
      <c r="J262" s="16" t="s">
        <v>26</v>
      </c>
      <c r="K262" s="16" t="s">
        <v>26</v>
      </c>
    </row>
    <row r="263" ht="15.75" customHeight="1">
      <c r="A263" s="8">
        <v>262.0</v>
      </c>
      <c r="B263" s="9" t="s">
        <v>675</v>
      </c>
      <c r="C263" s="10" t="s">
        <v>676</v>
      </c>
      <c r="D263" s="11">
        <v>1225.0</v>
      </c>
      <c r="E263" s="8">
        <v>6.0</v>
      </c>
      <c r="F263" s="11">
        <v>7782.0</v>
      </c>
      <c r="G263" s="10" t="s">
        <v>43</v>
      </c>
      <c r="H263" s="9" t="s">
        <v>320</v>
      </c>
      <c r="I263" s="9"/>
      <c r="J263" s="16" t="s">
        <v>26</v>
      </c>
      <c r="K263" s="16" t="s">
        <v>26</v>
      </c>
    </row>
    <row r="264" ht="15.75" customHeight="1">
      <c r="A264" s="8">
        <v>263.0</v>
      </c>
      <c r="B264" s="9" t="s">
        <v>677</v>
      </c>
      <c r="C264" s="10" t="s">
        <v>678</v>
      </c>
      <c r="D264" s="11">
        <v>261.0</v>
      </c>
      <c r="E264" s="8">
        <v>4.0</v>
      </c>
      <c r="F264" s="11">
        <v>7474.0</v>
      </c>
      <c r="G264" s="10" t="s">
        <v>43</v>
      </c>
      <c r="H264" s="9" t="s">
        <v>32</v>
      </c>
      <c r="I264" s="9"/>
      <c r="J264" s="16" t="s">
        <v>26</v>
      </c>
      <c r="K264" s="16" t="s">
        <v>26</v>
      </c>
    </row>
    <row r="265" ht="15.75" customHeight="1">
      <c r="A265" s="8">
        <v>264.0</v>
      </c>
      <c r="B265" s="9" t="s">
        <v>679</v>
      </c>
      <c r="C265" s="10" t="s">
        <v>680</v>
      </c>
      <c r="D265" s="11">
        <v>507.0</v>
      </c>
      <c r="E265" s="8">
        <v>6.0</v>
      </c>
      <c r="F265" s="11">
        <v>7299.0</v>
      </c>
      <c r="G265" s="10" t="s">
        <v>43</v>
      </c>
      <c r="H265" s="9" t="s">
        <v>681</v>
      </c>
      <c r="I265" s="9"/>
      <c r="J265" s="16" t="s">
        <v>26</v>
      </c>
      <c r="K265" s="16" t="s">
        <v>26</v>
      </c>
    </row>
    <row r="266" ht="15.75" customHeight="1">
      <c r="A266" s="8">
        <v>265.0</v>
      </c>
      <c r="B266" s="9" t="s">
        <v>682</v>
      </c>
      <c r="C266" s="10" t="s">
        <v>683</v>
      </c>
      <c r="D266" s="11">
        <v>122.0</v>
      </c>
      <c r="E266" s="8">
        <v>4.0</v>
      </c>
      <c r="F266" s="11">
        <v>7081.0</v>
      </c>
      <c r="G266" s="10" t="s">
        <v>43</v>
      </c>
      <c r="H266" s="9" t="s">
        <v>46</v>
      </c>
      <c r="I266" s="9"/>
      <c r="J266" s="16" t="s">
        <v>26</v>
      </c>
      <c r="K266" s="16" t="s">
        <v>26</v>
      </c>
    </row>
    <row r="267" ht="15.75" customHeight="1">
      <c r="A267" s="8">
        <v>266.0</v>
      </c>
      <c r="B267" s="9" t="s">
        <v>684</v>
      </c>
      <c r="C267" s="10" t="s">
        <v>685</v>
      </c>
      <c r="D267" s="11">
        <v>2523.0</v>
      </c>
      <c r="E267" s="8">
        <v>4.0</v>
      </c>
      <c r="F267" s="11">
        <v>7062.0</v>
      </c>
      <c r="G267" s="10" t="s">
        <v>43</v>
      </c>
      <c r="H267" s="9" t="s">
        <v>231</v>
      </c>
      <c r="I267" s="9"/>
      <c r="J267" s="16" t="s">
        <v>26</v>
      </c>
      <c r="K267" s="16" t="s">
        <v>26</v>
      </c>
    </row>
    <row r="268" ht="15.75" customHeight="1">
      <c r="A268" s="8">
        <v>267.0</v>
      </c>
      <c r="B268" s="9" t="s">
        <v>686</v>
      </c>
      <c r="C268" s="10" t="s">
        <v>687</v>
      </c>
      <c r="D268" s="11">
        <v>267.0</v>
      </c>
      <c r="E268" s="8">
        <v>3.0</v>
      </c>
      <c r="F268" s="11">
        <v>6998.0</v>
      </c>
      <c r="G268" s="10" t="s">
        <v>43</v>
      </c>
      <c r="H268" s="9" t="s">
        <v>57</v>
      </c>
      <c r="I268" s="9"/>
      <c r="J268" s="16" t="s">
        <v>26</v>
      </c>
      <c r="K268" s="16" t="s">
        <v>26</v>
      </c>
    </row>
    <row r="269" ht="15.75" customHeight="1">
      <c r="A269" s="8">
        <v>268.0</v>
      </c>
      <c r="B269" s="9" t="s">
        <v>688</v>
      </c>
      <c r="C269" s="10" t="s">
        <v>689</v>
      </c>
      <c r="D269" s="11">
        <v>5.0</v>
      </c>
      <c r="E269" s="8">
        <v>4.0</v>
      </c>
      <c r="F269" s="11">
        <v>6849.0</v>
      </c>
      <c r="G269" s="10" t="s">
        <v>43</v>
      </c>
      <c r="H269" s="9" t="s">
        <v>116</v>
      </c>
      <c r="I269" s="9"/>
      <c r="J269" s="16" t="s">
        <v>26</v>
      </c>
      <c r="K269" s="16" t="s">
        <v>26</v>
      </c>
    </row>
    <row r="270" ht="15.75" customHeight="1">
      <c r="A270" s="8">
        <v>269.0</v>
      </c>
      <c r="B270" s="9" t="s">
        <v>690</v>
      </c>
      <c r="C270" s="10" t="s">
        <v>691</v>
      </c>
      <c r="D270" s="11">
        <v>782.0</v>
      </c>
      <c r="E270" s="8">
        <v>4.0</v>
      </c>
      <c r="F270" s="11">
        <v>6766.0</v>
      </c>
      <c r="G270" s="10" t="s">
        <v>43</v>
      </c>
      <c r="H270" s="9" t="s">
        <v>231</v>
      </c>
      <c r="I270" s="9"/>
      <c r="J270" s="16" t="s">
        <v>26</v>
      </c>
      <c r="K270" s="16" t="s">
        <v>26</v>
      </c>
    </row>
    <row r="271" ht="15.75" customHeight="1">
      <c r="A271" s="8">
        <v>270.0</v>
      </c>
      <c r="B271" s="9" t="s">
        <v>692</v>
      </c>
      <c r="C271" s="10" t="s">
        <v>693</v>
      </c>
      <c r="D271" s="11">
        <v>385.0</v>
      </c>
      <c r="E271" s="8">
        <v>4.0</v>
      </c>
      <c r="F271" s="11">
        <v>6740.0</v>
      </c>
      <c r="G271" s="10" t="s">
        <v>43</v>
      </c>
      <c r="H271" s="9" t="s">
        <v>32</v>
      </c>
      <c r="I271" s="9"/>
      <c r="J271" s="16" t="s">
        <v>26</v>
      </c>
      <c r="K271" s="16" t="s">
        <v>26</v>
      </c>
    </row>
    <row r="272" ht="15.75" customHeight="1">
      <c r="A272" s="8">
        <v>271.0</v>
      </c>
      <c r="B272" s="9" t="s">
        <v>694</v>
      </c>
      <c r="C272" s="10" t="s">
        <v>695</v>
      </c>
      <c r="D272" s="11">
        <v>536.0</v>
      </c>
      <c r="E272" s="8">
        <v>3.0</v>
      </c>
      <c r="F272" s="11">
        <v>6695.0</v>
      </c>
      <c r="G272" s="10" t="s">
        <v>43</v>
      </c>
      <c r="H272" s="9" t="s">
        <v>38</v>
      </c>
      <c r="I272" s="9"/>
      <c r="J272" s="16" t="s">
        <v>26</v>
      </c>
      <c r="K272" s="16" t="s">
        <v>26</v>
      </c>
    </row>
    <row r="273" ht="15.75" customHeight="1">
      <c r="A273" s="8">
        <v>272.0</v>
      </c>
      <c r="B273" s="9" t="s">
        <v>696</v>
      </c>
      <c r="C273" s="10" t="s">
        <v>697</v>
      </c>
      <c r="D273" s="11">
        <v>9.0</v>
      </c>
      <c r="E273" s="8">
        <v>2.0</v>
      </c>
      <c r="F273" s="11">
        <v>6565.0</v>
      </c>
      <c r="G273" s="10" t="s">
        <v>43</v>
      </c>
      <c r="H273" s="9" t="s">
        <v>46</v>
      </c>
      <c r="I273" s="9"/>
      <c r="J273" s="16" t="s">
        <v>26</v>
      </c>
      <c r="K273" s="16" t="s">
        <v>26</v>
      </c>
    </row>
    <row r="274" ht="15.75" customHeight="1">
      <c r="A274" s="8">
        <v>273.0</v>
      </c>
      <c r="B274" s="9" t="s">
        <v>698</v>
      </c>
      <c r="C274" s="10" t="s">
        <v>699</v>
      </c>
      <c r="D274" s="11">
        <v>128.0</v>
      </c>
      <c r="E274" s="8">
        <v>6.0</v>
      </c>
      <c r="F274" s="11">
        <v>6392.0</v>
      </c>
      <c r="G274" s="10" t="s">
        <v>43</v>
      </c>
      <c r="H274" s="9" t="s">
        <v>46</v>
      </c>
      <c r="I274" s="9"/>
      <c r="J274" s="16" t="s">
        <v>26</v>
      </c>
      <c r="K274" s="16" t="s">
        <v>26</v>
      </c>
    </row>
    <row r="275" ht="15.75" customHeight="1">
      <c r="A275" s="8">
        <v>274.0</v>
      </c>
      <c r="B275" s="9" t="s">
        <v>700</v>
      </c>
      <c r="C275" s="10" t="s">
        <v>701</v>
      </c>
      <c r="D275" s="11">
        <v>933.0</v>
      </c>
      <c r="E275" s="8">
        <v>4.0</v>
      </c>
      <c r="F275" s="11">
        <v>6287.0</v>
      </c>
      <c r="G275" s="10" t="s">
        <v>43</v>
      </c>
      <c r="H275" s="9" t="s">
        <v>320</v>
      </c>
      <c r="I275" s="9"/>
      <c r="J275" s="16" t="s">
        <v>26</v>
      </c>
      <c r="K275" s="16" t="s">
        <v>26</v>
      </c>
    </row>
    <row r="276" ht="15.75" customHeight="1">
      <c r="A276" s="8">
        <v>275.0</v>
      </c>
      <c r="B276" s="23" t="s">
        <v>702</v>
      </c>
      <c r="C276" s="10" t="s">
        <v>703</v>
      </c>
      <c r="D276" s="11">
        <v>1564.0</v>
      </c>
      <c r="E276" s="8">
        <v>6.0</v>
      </c>
      <c r="F276" s="11">
        <v>6183.0</v>
      </c>
      <c r="G276" s="10" t="s">
        <v>43</v>
      </c>
      <c r="H276" s="9" t="s">
        <v>190</v>
      </c>
      <c r="I276" s="9"/>
      <c r="J276" s="16" t="s">
        <v>26</v>
      </c>
      <c r="K276" s="16" t="s">
        <v>26</v>
      </c>
    </row>
    <row r="277" ht="15.75" customHeight="1">
      <c r="A277" s="8">
        <v>276.0</v>
      </c>
      <c r="B277" s="9" t="s">
        <v>704</v>
      </c>
      <c r="C277" s="10" t="s">
        <v>705</v>
      </c>
      <c r="D277" s="11">
        <v>1147.0</v>
      </c>
      <c r="E277" s="8">
        <v>4.0</v>
      </c>
      <c r="F277" s="11">
        <v>6081.0</v>
      </c>
      <c r="G277" s="10" t="s">
        <v>43</v>
      </c>
      <c r="H277" s="9" t="s">
        <v>320</v>
      </c>
      <c r="I277" s="9"/>
      <c r="J277" s="16" t="s">
        <v>26</v>
      </c>
      <c r="K277" s="16" t="s">
        <v>26</v>
      </c>
    </row>
    <row r="278" ht="15.75" customHeight="1">
      <c r="A278" s="8">
        <v>277.0</v>
      </c>
      <c r="B278" s="23" t="s">
        <v>706</v>
      </c>
      <c r="C278" s="10" t="s">
        <v>707</v>
      </c>
      <c r="D278" s="11">
        <v>320.0</v>
      </c>
      <c r="E278" s="8">
        <v>6.0</v>
      </c>
      <c r="F278" s="11">
        <v>5980.0</v>
      </c>
      <c r="G278" s="10" t="s">
        <v>43</v>
      </c>
      <c r="H278" s="9" t="s">
        <v>708</v>
      </c>
      <c r="I278" s="9"/>
      <c r="J278" s="16" t="s">
        <v>26</v>
      </c>
      <c r="K278" s="16" t="s">
        <v>26</v>
      </c>
    </row>
    <row r="279" ht="15.75" customHeight="1">
      <c r="A279" s="8">
        <v>278.0</v>
      </c>
      <c r="B279" s="9" t="s">
        <v>709</v>
      </c>
      <c r="C279" s="10" t="s">
        <v>710</v>
      </c>
      <c r="D279" s="11">
        <v>198.0</v>
      </c>
      <c r="E279" s="8">
        <v>5.0</v>
      </c>
      <c r="F279" s="11">
        <v>5825.0</v>
      </c>
      <c r="G279" s="10" t="s">
        <v>43</v>
      </c>
      <c r="H279" s="9" t="s">
        <v>32</v>
      </c>
      <c r="I279" s="9"/>
      <c r="J279" s="16" t="s">
        <v>26</v>
      </c>
      <c r="K279" s="16" t="s">
        <v>26</v>
      </c>
    </row>
    <row r="280" ht="15.75" customHeight="1">
      <c r="A280" s="8">
        <v>279.0</v>
      </c>
      <c r="B280" s="9" t="s">
        <v>711</v>
      </c>
      <c r="C280" s="10" t="s">
        <v>712</v>
      </c>
      <c r="D280" s="11">
        <v>3059.0</v>
      </c>
      <c r="E280" s="8">
        <v>3.0</v>
      </c>
      <c r="F280" s="11">
        <v>5764.0</v>
      </c>
      <c r="G280" s="10" t="s">
        <v>43</v>
      </c>
      <c r="H280" s="9" t="s">
        <v>231</v>
      </c>
      <c r="I280" s="9"/>
      <c r="J280" s="16" t="s">
        <v>26</v>
      </c>
      <c r="K280" s="16" t="s">
        <v>26</v>
      </c>
    </row>
    <row r="281" ht="15.75" customHeight="1">
      <c r="A281" s="8">
        <v>280.0</v>
      </c>
      <c r="B281" s="9" t="s">
        <v>713</v>
      </c>
      <c r="C281" s="10" t="s">
        <v>714</v>
      </c>
      <c r="D281" s="11">
        <v>529.0</v>
      </c>
      <c r="E281" s="8">
        <v>6.0</v>
      </c>
      <c r="F281" s="11">
        <v>5525.0</v>
      </c>
      <c r="G281" s="10" t="s">
        <v>43</v>
      </c>
      <c r="H281" s="9" t="s">
        <v>21</v>
      </c>
      <c r="I281" s="9"/>
      <c r="J281" s="16" t="s">
        <v>26</v>
      </c>
      <c r="K281" s="16" t="s">
        <v>26</v>
      </c>
    </row>
    <row r="282" ht="15.75" customHeight="1">
      <c r="A282" s="8">
        <v>281.0</v>
      </c>
      <c r="B282" s="23" t="s">
        <v>715</v>
      </c>
      <c r="C282" s="10" t="s">
        <v>716</v>
      </c>
      <c r="D282" s="11">
        <v>1683.0</v>
      </c>
      <c r="E282" s="8">
        <v>4.0</v>
      </c>
      <c r="F282" s="11">
        <v>5467.0</v>
      </c>
      <c r="G282" s="10" t="s">
        <v>43</v>
      </c>
      <c r="H282" s="9" t="s">
        <v>320</v>
      </c>
      <c r="I282" s="9"/>
      <c r="J282" s="16" t="s">
        <v>26</v>
      </c>
      <c r="K282" s="16" t="s">
        <v>26</v>
      </c>
    </row>
    <row r="283" ht="15.75" customHeight="1">
      <c r="A283" s="8">
        <v>282.0</v>
      </c>
      <c r="B283" s="9" t="s">
        <v>717</v>
      </c>
      <c r="C283" s="10" t="s">
        <v>718</v>
      </c>
      <c r="D283" s="11">
        <v>1141.0</v>
      </c>
      <c r="E283" s="8">
        <v>4.0</v>
      </c>
      <c r="F283" s="11">
        <v>5413.0</v>
      </c>
      <c r="G283" s="10" t="s">
        <v>43</v>
      </c>
      <c r="H283" s="9" t="s">
        <v>320</v>
      </c>
      <c r="I283" s="9"/>
      <c r="J283" s="16" t="s">
        <v>26</v>
      </c>
      <c r="K283" s="16" t="s">
        <v>26</v>
      </c>
    </row>
    <row r="284" ht="15.75" customHeight="1">
      <c r="A284" s="8">
        <v>283.0</v>
      </c>
      <c r="B284" s="9" t="s">
        <v>719</v>
      </c>
      <c r="C284" s="10" t="s">
        <v>720</v>
      </c>
      <c r="D284" s="11">
        <v>356.0</v>
      </c>
      <c r="E284" s="8">
        <v>4.0</v>
      </c>
      <c r="F284" s="11">
        <v>5373.0</v>
      </c>
      <c r="G284" s="10" t="s">
        <v>43</v>
      </c>
      <c r="H284" s="9" t="s">
        <v>46</v>
      </c>
      <c r="I284" s="9"/>
      <c r="J284" s="16" t="s">
        <v>26</v>
      </c>
      <c r="K284" s="16" t="s">
        <v>26</v>
      </c>
    </row>
    <row r="285" ht="15.75" customHeight="1">
      <c r="A285" s="8">
        <v>284.0</v>
      </c>
      <c r="B285" s="9" t="s">
        <v>721</v>
      </c>
      <c r="C285" s="10" t="s">
        <v>722</v>
      </c>
      <c r="D285" s="11">
        <v>146.0</v>
      </c>
      <c r="E285" s="8">
        <v>4.0</v>
      </c>
      <c r="F285" s="11">
        <v>4859.0</v>
      </c>
      <c r="G285" s="10" t="s">
        <v>50</v>
      </c>
      <c r="H285" s="9" t="s">
        <v>723</v>
      </c>
      <c r="I285" s="9"/>
      <c r="J285" s="16" t="s">
        <v>26</v>
      </c>
      <c r="K285" s="16" t="s">
        <v>26</v>
      </c>
    </row>
    <row r="286" ht="15.75" customHeight="1">
      <c r="A286" s="8">
        <v>285.0</v>
      </c>
      <c r="B286" s="9" t="s">
        <v>724</v>
      </c>
      <c r="C286" s="10" t="s">
        <v>725</v>
      </c>
      <c r="D286" s="11">
        <v>8.0</v>
      </c>
      <c r="E286" s="8">
        <v>6.0</v>
      </c>
      <c r="F286" s="11">
        <v>4514.0</v>
      </c>
      <c r="G286" s="10" t="s">
        <v>50</v>
      </c>
      <c r="H286" s="9" t="s">
        <v>726</v>
      </c>
      <c r="I286" s="9"/>
      <c r="J286" s="16" t="s">
        <v>26</v>
      </c>
      <c r="K286" s="16" t="s">
        <v>26</v>
      </c>
    </row>
    <row r="287" ht="15.75" customHeight="1">
      <c r="A287" s="8">
        <v>286.0</v>
      </c>
      <c r="B287" s="9" t="s">
        <v>727</v>
      </c>
      <c r="C287" s="10" t="s">
        <v>728</v>
      </c>
      <c r="D287" s="11">
        <v>280.0</v>
      </c>
      <c r="E287" s="8">
        <v>6.0</v>
      </c>
      <c r="F287" s="11">
        <v>4511.0</v>
      </c>
      <c r="G287" s="10" t="s">
        <v>50</v>
      </c>
      <c r="H287" s="9" t="s">
        <v>21</v>
      </c>
      <c r="I287" s="9"/>
      <c r="J287" s="16" t="s">
        <v>26</v>
      </c>
      <c r="K287" s="16" t="s">
        <v>26</v>
      </c>
    </row>
    <row r="288" ht="15.75" customHeight="1">
      <c r="A288" s="8">
        <v>287.0</v>
      </c>
      <c r="B288" s="9" t="s">
        <v>729</v>
      </c>
      <c r="C288" s="10" t="s">
        <v>730</v>
      </c>
      <c r="D288" s="11">
        <v>46.0</v>
      </c>
      <c r="E288" s="8">
        <v>6.0</v>
      </c>
      <c r="F288" s="11">
        <v>4179.0</v>
      </c>
      <c r="G288" s="10" t="s">
        <v>50</v>
      </c>
      <c r="H288" s="9" t="s">
        <v>726</v>
      </c>
      <c r="I288" s="9"/>
      <c r="J288" s="16" t="s">
        <v>26</v>
      </c>
      <c r="K288" s="16" t="s">
        <v>26</v>
      </c>
    </row>
    <row r="289" ht="15.75" customHeight="1">
      <c r="A289" s="8">
        <v>288.0</v>
      </c>
      <c r="B289" s="9" t="s">
        <v>731</v>
      </c>
      <c r="C289" s="10" t="s">
        <v>732</v>
      </c>
      <c r="D289" s="11">
        <v>184.0</v>
      </c>
      <c r="E289" s="8">
        <v>6.0</v>
      </c>
      <c r="F289" s="11">
        <v>4153.0</v>
      </c>
      <c r="G289" s="10" t="s">
        <v>50</v>
      </c>
      <c r="H289" s="9" t="s">
        <v>32</v>
      </c>
      <c r="I289" s="9"/>
      <c r="J289" s="16" t="s">
        <v>26</v>
      </c>
      <c r="K289" s="16" t="s">
        <v>26</v>
      </c>
    </row>
    <row r="290" ht="15.75" customHeight="1">
      <c r="A290" s="8">
        <v>289.0</v>
      </c>
      <c r="B290" s="9" t="s">
        <v>733</v>
      </c>
      <c r="C290" s="10" t="s">
        <v>734</v>
      </c>
      <c r="D290" s="11">
        <v>1382.0</v>
      </c>
      <c r="E290" s="8">
        <v>4.0</v>
      </c>
      <c r="F290" s="11">
        <v>2374.0</v>
      </c>
      <c r="G290" s="10" t="s">
        <v>50</v>
      </c>
      <c r="H290" s="9" t="s">
        <v>190</v>
      </c>
      <c r="I290" s="9" t="s">
        <v>735</v>
      </c>
      <c r="J290" s="16" t="s">
        <v>26</v>
      </c>
      <c r="K290" s="16" t="s">
        <v>26</v>
      </c>
    </row>
    <row r="291" ht="15.75" customHeight="1">
      <c r="A291" s="8">
        <v>290.0</v>
      </c>
      <c r="B291" s="9" t="s">
        <v>736</v>
      </c>
      <c r="C291" s="10" t="s">
        <v>737</v>
      </c>
      <c r="D291" s="11">
        <v>764.0</v>
      </c>
      <c r="E291" s="8">
        <v>6.0</v>
      </c>
      <c r="F291" s="11">
        <v>2366.0</v>
      </c>
      <c r="G291" s="10" t="s">
        <v>50</v>
      </c>
      <c r="H291" s="9" t="s">
        <v>231</v>
      </c>
      <c r="I291" s="9"/>
      <c r="J291" s="16" t="s">
        <v>26</v>
      </c>
      <c r="K291" s="16" t="s">
        <v>26</v>
      </c>
    </row>
    <row r="292" ht="15.75" customHeight="1">
      <c r="A292" s="8">
        <v>291.0</v>
      </c>
      <c r="B292" s="9" t="s">
        <v>738</v>
      </c>
      <c r="C292" s="10" t="s">
        <v>739</v>
      </c>
      <c r="D292" s="11">
        <v>77.0</v>
      </c>
      <c r="E292" s="8">
        <v>6.0</v>
      </c>
      <c r="F292" s="11">
        <v>2309.0</v>
      </c>
      <c r="G292" s="10" t="s">
        <v>50</v>
      </c>
      <c r="H292" s="9" t="s">
        <v>740</v>
      </c>
      <c r="I292" s="9"/>
      <c r="J292" s="16" t="s">
        <v>26</v>
      </c>
      <c r="K292" s="16" t="s">
        <v>26</v>
      </c>
    </row>
    <row r="293" ht="15.75" customHeight="1">
      <c r="A293" s="8">
        <v>292.0</v>
      </c>
      <c r="B293" s="27" t="s">
        <v>741</v>
      </c>
      <c r="C293" s="10" t="s">
        <v>742</v>
      </c>
      <c r="D293" s="11">
        <v>697.0</v>
      </c>
      <c r="E293" s="8">
        <v>6.0</v>
      </c>
      <c r="F293" s="11">
        <v>2182.0</v>
      </c>
      <c r="G293" s="10" t="s">
        <v>50</v>
      </c>
      <c r="H293" s="9" t="s">
        <v>190</v>
      </c>
      <c r="I293" s="9"/>
      <c r="J293" s="16" t="s">
        <v>26</v>
      </c>
      <c r="K293" s="16" t="s">
        <v>26</v>
      </c>
    </row>
    <row r="294" ht="15.75" customHeight="1">
      <c r="A294" s="8">
        <v>293.0</v>
      </c>
      <c r="B294" s="9" t="s">
        <v>743</v>
      </c>
      <c r="C294" s="10" t="s">
        <v>744</v>
      </c>
      <c r="D294" s="11">
        <v>438.0</v>
      </c>
      <c r="E294" s="8">
        <v>4.0</v>
      </c>
      <c r="F294" s="11">
        <v>2093.0</v>
      </c>
      <c r="G294" s="10" t="s">
        <v>50</v>
      </c>
      <c r="H294" s="9" t="s">
        <v>231</v>
      </c>
      <c r="I294" s="9"/>
      <c r="J294" s="16" t="s">
        <v>26</v>
      </c>
      <c r="K294" s="16" t="s">
        <v>26</v>
      </c>
    </row>
    <row r="295" ht="15.75" customHeight="1">
      <c r="A295" s="8">
        <v>294.0</v>
      </c>
      <c r="B295" s="9" t="s">
        <v>745</v>
      </c>
      <c r="C295" s="10" t="s">
        <v>746</v>
      </c>
      <c r="D295" s="11">
        <v>50.0</v>
      </c>
      <c r="E295" s="8">
        <v>4.0</v>
      </c>
      <c r="F295" s="11">
        <v>2089.0</v>
      </c>
      <c r="G295" s="10" t="s">
        <v>50</v>
      </c>
      <c r="H295" s="9" t="s">
        <v>116</v>
      </c>
      <c r="I295" s="9"/>
      <c r="J295" s="16" t="s">
        <v>26</v>
      </c>
      <c r="K295" s="16" t="s">
        <v>26</v>
      </c>
    </row>
    <row r="296" ht="15.75" customHeight="1">
      <c r="A296" s="8">
        <v>295.0</v>
      </c>
      <c r="B296" s="9" t="s">
        <v>747</v>
      </c>
      <c r="C296" s="10" t="s">
        <v>748</v>
      </c>
      <c r="D296" s="11">
        <v>35.0</v>
      </c>
      <c r="E296" s="8">
        <v>4.0</v>
      </c>
      <c r="F296" s="11">
        <v>2085.0</v>
      </c>
      <c r="G296" s="10" t="s">
        <v>50</v>
      </c>
      <c r="H296" s="9"/>
      <c r="I296" s="9" t="s">
        <v>749</v>
      </c>
      <c r="J296" s="16" t="s">
        <v>26</v>
      </c>
      <c r="K296" s="16" t="s">
        <v>26</v>
      </c>
    </row>
    <row r="297" ht="15.75" customHeight="1">
      <c r="A297" s="8">
        <v>296.0</v>
      </c>
      <c r="B297" s="9" t="s">
        <v>750</v>
      </c>
      <c r="C297" s="10" t="s">
        <v>751</v>
      </c>
      <c r="D297" s="11">
        <v>114.0</v>
      </c>
      <c r="E297" s="8">
        <v>4.0</v>
      </c>
      <c r="F297" s="11">
        <v>2055.0</v>
      </c>
      <c r="G297" s="10" t="s">
        <v>50</v>
      </c>
      <c r="H297" s="9" t="s">
        <v>46</v>
      </c>
      <c r="I297" s="9"/>
      <c r="J297" s="16" t="s">
        <v>26</v>
      </c>
      <c r="K297" s="16" t="s">
        <v>26</v>
      </c>
    </row>
    <row r="298" ht="15.75" customHeight="1">
      <c r="A298" s="8">
        <v>297.0</v>
      </c>
      <c r="B298" s="9" t="s">
        <v>752</v>
      </c>
      <c r="C298" s="10" t="s">
        <v>753</v>
      </c>
      <c r="D298" s="11">
        <v>93.0</v>
      </c>
      <c r="E298" s="8">
        <v>6.0</v>
      </c>
      <c r="F298" s="11">
        <v>1962.0</v>
      </c>
      <c r="G298" s="10" t="s">
        <v>50</v>
      </c>
      <c r="H298" s="9" t="s">
        <v>46</v>
      </c>
      <c r="I298" s="9"/>
      <c r="J298" s="16" t="s">
        <v>26</v>
      </c>
      <c r="K298" s="16" t="s">
        <v>26</v>
      </c>
    </row>
    <row r="299" ht="15.75" customHeight="1">
      <c r="A299" s="8">
        <v>298.0</v>
      </c>
      <c r="B299" s="9" t="s">
        <v>754</v>
      </c>
      <c r="C299" s="10" t="s">
        <v>755</v>
      </c>
      <c r="D299" s="11">
        <v>754.0</v>
      </c>
      <c r="E299" s="8">
        <v>3.0</v>
      </c>
      <c r="F299" s="11">
        <v>1954.0</v>
      </c>
      <c r="G299" s="10" t="s">
        <v>50</v>
      </c>
      <c r="H299" s="9" t="s">
        <v>547</v>
      </c>
      <c r="I299" s="9" t="s">
        <v>756</v>
      </c>
      <c r="J299" s="16" t="s">
        <v>26</v>
      </c>
      <c r="K299" s="16" t="s">
        <v>26</v>
      </c>
    </row>
    <row r="300" ht="15.75" customHeight="1">
      <c r="A300" s="8">
        <v>299.0</v>
      </c>
      <c r="B300" s="9" t="s">
        <v>757</v>
      </c>
      <c r="C300" s="10" t="s">
        <v>758</v>
      </c>
      <c r="D300" s="11">
        <v>104.0</v>
      </c>
      <c r="E300" s="8">
        <v>6.0</v>
      </c>
      <c r="F300" s="11">
        <v>1952.0</v>
      </c>
      <c r="G300" s="10" t="s">
        <v>50</v>
      </c>
      <c r="H300" s="9" t="s">
        <v>483</v>
      </c>
      <c r="I300" s="9"/>
      <c r="J300" s="16" t="s">
        <v>26</v>
      </c>
      <c r="K300" s="16" t="s">
        <v>26</v>
      </c>
    </row>
    <row r="301" ht="15.75" customHeight="1">
      <c r="A301" s="8">
        <v>300.0</v>
      </c>
      <c r="B301" s="9" t="s">
        <v>759</v>
      </c>
      <c r="C301" s="10" t="s">
        <v>760</v>
      </c>
      <c r="D301" s="11">
        <v>389.0</v>
      </c>
      <c r="E301" s="8">
        <v>4.0</v>
      </c>
      <c r="F301" s="11">
        <v>1905.0</v>
      </c>
      <c r="G301" s="10" t="s">
        <v>50</v>
      </c>
      <c r="H301" s="9" t="s">
        <v>650</v>
      </c>
      <c r="I301" s="9"/>
      <c r="J301" s="16" t="s">
        <v>26</v>
      </c>
      <c r="K301" s="16" t="s">
        <v>26</v>
      </c>
    </row>
    <row r="302" ht="15.75" customHeight="1">
      <c r="A302" s="8">
        <v>301.0</v>
      </c>
      <c r="B302" s="9" t="s">
        <v>761</v>
      </c>
      <c r="C302" s="10" t="s">
        <v>762</v>
      </c>
      <c r="D302" s="11">
        <v>281.0</v>
      </c>
      <c r="E302" s="8">
        <v>3.0</v>
      </c>
      <c r="F302" s="11">
        <v>1863.0</v>
      </c>
      <c r="G302" s="10" t="s">
        <v>50</v>
      </c>
      <c r="H302" s="9" t="s">
        <v>763</v>
      </c>
      <c r="I302" s="9"/>
      <c r="J302" s="16" t="s">
        <v>26</v>
      </c>
      <c r="K302" s="16" t="s">
        <v>26</v>
      </c>
    </row>
    <row r="303" ht="15.75" customHeight="1">
      <c r="A303" s="8">
        <v>302.0</v>
      </c>
      <c r="B303" s="9" t="s">
        <v>764</v>
      </c>
      <c r="C303" s="10" t="s">
        <v>765</v>
      </c>
      <c r="D303" s="11">
        <v>373.0</v>
      </c>
      <c r="E303" s="8">
        <v>4.0</v>
      </c>
      <c r="F303" s="11">
        <v>1854.0</v>
      </c>
      <c r="G303" s="10" t="s">
        <v>50</v>
      </c>
      <c r="H303" s="9" t="s">
        <v>190</v>
      </c>
      <c r="I303" s="9"/>
      <c r="J303" s="16" t="s">
        <v>26</v>
      </c>
      <c r="K303" s="16" t="s">
        <v>26</v>
      </c>
    </row>
    <row r="304" ht="15.75" customHeight="1">
      <c r="A304" s="8">
        <v>303.0</v>
      </c>
      <c r="B304" s="9" t="s">
        <v>766</v>
      </c>
      <c r="C304" s="10" t="s">
        <v>767</v>
      </c>
      <c r="D304" s="11">
        <v>36.0</v>
      </c>
      <c r="E304" s="8">
        <v>4.0</v>
      </c>
      <c r="F304" s="11">
        <v>1840.0</v>
      </c>
      <c r="G304" s="10" t="s">
        <v>50</v>
      </c>
      <c r="H304" s="9" t="s">
        <v>21</v>
      </c>
      <c r="I304" s="9"/>
      <c r="J304" s="16" t="s">
        <v>26</v>
      </c>
      <c r="K304" s="16" t="s">
        <v>26</v>
      </c>
    </row>
    <row r="305" ht="15.75" customHeight="1">
      <c r="A305" s="8">
        <v>304.0</v>
      </c>
      <c r="B305" s="9" t="s">
        <v>768</v>
      </c>
      <c r="C305" s="10" t="s">
        <v>769</v>
      </c>
      <c r="D305" s="11">
        <v>40.0</v>
      </c>
      <c r="E305" s="8">
        <v>4.0</v>
      </c>
      <c r="F305" s="11">
        <v>1832.0</v>
      </c>
      <c r="G305" s="10" t="s">
        <v>50</v>
      </c>
      <c r="H305" s="9" t="s">
        <v>389</v>
      </c>
      <c r="I305" s="9"/>
      <c r="J305" s="16" t="s">
        <v>26</v>
      </c>
      <c r="K305" s="16" t="s">
        <v>26</v>
      </c>
    </row>
    <row r="306" ht="15.75" customHeight="1">
      <c r="A306" s="8">
        <v>305.0</v>
      </c>
      <c r="B306" s="9" t="s">
        <v>770</v>
      </c>
      <c r="C306" s="10" t="s">
        <v>771</v>
      </c>
      <c r="D306" s="11">
        <v>324.0</v>
      </c>
      <c r="E306" s="8">
        <v>4.0</v>
      </c>
      <c r="F306" s="11">
        <v>1782.0</v>
      </c>
      <c r="G306" s="10" t="s">
        <v>50</v>
      </c>
      <c r="H306" s="9" t="s">
        <v>650</v>
      </c>
      <c r="I306" s="9"/>
      <c r="J306" s="16" t="s">
        <v>26</v>
      </c>
      <c r="K306" s="16" t="s">
        <v>26</v>
      </c>
    </row>
    <row r="307" ht="15.75" customHeight="1">
      <c r="A307" s="8">
        <v>306.0</v>
      </c>
      <c r="B307" s="9" t="s">
        <v>772</v>
      </c>
      <c r="C307" s="10" t="s">
        <v>773</v>
      </c>
      <c r="D307" s="11">
        <v>43.0</v>
      </c>
      <c r="E307" s="8">
        <v>2.0</v>
      </c>
      <c r="F307" s="11">
        <v>1680.0</v>
      </c>
      <c r="G307" s="10" t="s">
        <v>50</v>
      </c>
      <c r="H307" s="9" t="s">
        <v>38</v>
      </c>
      <c r="I307" s="9"/>
      <c r="J307" s="16" t="s">
        <v>26</v>
      </c>
      <c r="K307" s="16" t="s">
        <v>26</v>
      </c>
    </row>
    <row r="308" ht="15.75" customHeight="1">
      <c r="A308" s="8">
        <v>307.0</v>
      </c>
      <c r="B308" s="9" t="s">
        <v>774</v>
      </c>
      <c r="C308" s="10" t="s">
        <v>775</v>
      </c>
      <c r="D308" s="11">
        <v>287.0</v>
      </c>
      <c r="E308" s="8">
        <v>5.0</v>
      </c>
      <c r="F308" s="11">
        <v>1676.0</v>
      </c>
      <c r="G308" s="10" t="s">
        <v>50</v>
      </c>
      <c r="H308" s="9" t="s">
        <v>547</v>
      </c>
      <c r="I308" s="9"/>
      <c r="J308" s="16" t="s">
        <v>26</v>
      </c>
      <c r="K308" s="16" t="s">
        <v>26</v>
      </c>
    </row>
    <row r="309" ht="15.75" customHeight="1">
      <c r="A309" s="8">
        <v>308.0</v>
      </c>
      <c r="B309" s="9" t="s">
        <v>776</v>
      </c>
      <c r="C309" s="10" t="s">
        <v>777</v>
      </c>
      <c r="D309" s="11">
        <v>1662.0</v>
      </c>
      <c r="E309" s="8">
        <v>4.0</v>
      </c>
      <c r="F309" s="11">
        <v>1662.0</v>
      </c>
      <c r="G309" s="10" t="s">
        <v>50</v>
      </c>
      <c r="H309" s="9" t="s">
        <v>231</v>
      </c>
      <c r="I309" s="9"/>
      <c r="J309" s="16" t="s">
        <v>26</v>
      </c>
      <c r="K309" s="16" t="s">
        <v>26</v>
      </c>
    </row>
    <row r="310" ht="15.75" customHeight="1">
      <c r="A310" s="8">
        <v>309.0</v>
      </c>
      <c r="B310" s="9" t="s">
        <v>778</v>
      </c>
      <c r="C310" s="10" t="s">
        <v>779</v>
      </c>
      <c r="D310" s="11">
        <v>554.0</v>
      </c>
      <c r="E310" s="8">
        <v>4.0</v>
      </c>
      <c r="F310" s="11">
        <v>1635.0</v>
      </c>
      <c r="G310" s="10" t="s">
        <v>50</v>
      </c>
      <c r="H310" s="9" t="s">
        <v>231</v>
      </c>
      <c r="I310" s="9"/>
      <c r="J310" s="16" t="s">
        <v>26</v>
      </c>
      <c r="K310" s="16" t="s">
        <v>26</v>
      </c>
    </row>
    <row r="311" ht="15.75" customHeight="1">
      <c r="A311" s="8">
        <v>310.0</v>
      </c>
      <c r="B311" s="9" t="s">
        <v>780</v>
      </c>
      <c r="C311" s="10" t="s">
        <v>781</v>
      </c>
      <c r="D311" s="11">
        <v>99.0</v>
      </c>
      <c r="E311" s="8">
        <v>6.0</v>
      </c>
      <c r="F311" s="11">
        <v>1512.0</v>
      </c>
      <c r="G311" s="10" t="s">
        <v>50</v>
      </c>
      <c r="H311" s="9" t="s">
        <v>46</v>
      </c>
      <c r="I311" s="9"/>
      <c r="J311" s="16" t="s">
        <v>26</v>
      </c>
      <c r="K311" s="16" t="s">
        <v>26</v>
      </c>
    </row>
    <row r="312" ht="15.75" customHeight="1">
      <c r="A312" s="8">
        <v>311.0</v>
      </c>
      <c r="B312" s="9" t="s">
        <v>782</v>
      </c>
      <c r="C312" s="10" t="s">
        <v>783</v>
      </c>
      <c r="D312" s="11">
        <v>510.0</v>
      </c>
      <c r="E312" s="8">
        <v>5.0</v>
      </c>
      <c r="F312" s="11">
        <v>1448.0</v>
      </c>
      <c r="G312" s="10" t="s">
        <v>50</v>
      </c>
      <c r="H312" s="9" t="s">
        <v>231</v>
      </c>
      <c r="I312" s="9"/>
      <c r="J312" s="16" t="s">
        <v>26</v>
      </c>
      <c r="K312" s="16" t="s">
        <v>26</v>
      </c>
    </row>
    <row r="313" ht="15.75" customHeight="1">
      <c r="A313" s="8">
        <v>312.0</v>
      </c>
      <c r="B313" s="9" t="s">
        <v>784</v>
      </c>
      <c r="C313" s="10" t="s">
        <v>785</v>
      </c>
      <c r="D313" s="11">
        <v>573.0</v>
      </c>
      <c r="E313" s="8">
        <v>6.0</v>
      </c>
      <c r="F313" s="11">
        <v>1427.0</v>
      </c>
      <c r="G313" s="10" t="s">
        <v>50</v>
      </c>
      <c r="H313" s="9" t="s">
        <v>231</v>
      </c>
      <c r="I313" s="9"/>
      <c r="J313" s="16" t="s">
        <v>26</v>
      </c>
      <c r="K313" s="16" t="s">
        <v>26</v>
      </c>
    </row>
    <row r="314" ht="15.75" customHeight="1">
      <c r="A314" s="8">
        <v>313.0</v>
      </c>
      <c r="B314" s="9" t="s">
        <v>786</v>
      </c>
      <c r="C314" s="10" t="s">
        <v>787</v>
      </c>
      <c r="D314" s="11">
        <v>202.0</v>
      </c>
      <c r="E314" s="8">
        <v>6.0</v>
      </c>
      <c r="F314" s="11">
        <v>1273.0</v>
      </c>
      <c r="G314" s="10" t="s">
        <v>50</v>
      </c>
      <c r="H314" s="9" t="s">
        <v>650</v>
      </c>
      <c r="I314" s="9"/>
      <c r="J314" s="16" t="s">
        <v>26</v>
      </c>
      <c r="K314" s="16" t="s">
        <v>26</v>
      </c>
    </row>
    <row r="315" ht="15.75" customHeight="1">
      <c r="A315" s="8">
        <v>314.0</v>
      </c>
      <c r="B315" s="9" t="s">
        <v>788</v>
      </c>
      <c r="C315" s="10" t="s">
        <v>789</v>
      </c>
      <c r="D315" s="11">
        <v>520.0</v>
      </c>
      <c r="E315" s="8">
        <v>3.0</v>
      </c>
      <c r="F315" s="11">
        <v>1241.0</v>
      </c>
      <c r="G315" s="10" t="s">
        <v>50</v>
      </c>
      <c r="H315" s="9" t="s">
        <v>190</v>
      </c>
      <c r="I315" s="9"/>
      <c r="J315" s="16" t="s">
        <v>26</v>
      </c>
      <c r="K315" s="16" t="s">
        <v>26</v>
      </c>
    </row>
    <row r="316" ht="15.75" customHeight="1">
      <c r="A316" s="8">
        <v>315.0</v>
      </c>
      <c r="B316" s="9" t="s">
        <v>790</v>
      </c>
      <c r="C316" s="10" t="s">
        <v>791</v>
      </c>
      <c r="D316" s="11">
        <v>82.0</v>
      </c>
      <c r="E316" s="8">
        <v>6.0</v>
      </c>
      <c r="F316" s="11">
        <v>1209.0</v>
      </c>
      <c r="G316" s="10" t="s">
        <v>50</v>
      </c>
      <c r="H316" s="9" t="s">
        <v>85</v>
      </c>
      <c r="I316" s="9"/>
      <c r="J316" s="16" t="s">
        <v>26</v>
      </c>
      <c r="K316" s="16" t="s">
        <v>26</v>
      </c>
    </row>
    <row r="317" ht="15.75" customHeight="1">
      <c r="A317" s="8">
        <v>316.0</v>
      </c>
      <c r="B317" s="9" t="s">
        <v>792</v>
      </c>
      <c r="C317" s="10" t="s">
        <v>793</v>
      </c>
      <c r="D317" s="11">
        <v>913.0</v>
      </c>
      <c r="E317" s="8">
        <v>4.0</v>
      </c>
      <c r="F317" s="11">
        <v>1129.0</v>
      </c>
      <c r="G317" s="10" t="s">
        <v>50</v>
      </c>
      <c r="H317" s="9" t="s">
        <v>231</v>
      </c>
      <c r="I317" s="9"/>
      <c r="J317" s="16" t="s">
        <v>26</v>
      </c>
      <c r="K317" s="16" t="s">
        <v>26</v>
      </c>
    </row>
    <row r="318" ht="15.75" customHeight="1">
      <c r="A318" s="8">
        <v>317.0</v>
      </c>
      <c r="B318" s="9" t="s">
        <v>794</v>
      </c>
      <c r="C318" s="10" t="s">
        <v>795</v>
      </c>
      <c r="D318" s="11">
        <v>76.0</v>
      </c>
      <c r="E318" s="8">
        <v>4.0</v>
      </c>
      <c r="F318" s="11">
        <v>1120.0</v>
      </c>
      <c r="G318" s="10" t="s">
        <v>50</v>
      </c>
      <c r="H318" s="9" t="s">
        <v>21</v>
      </c>
      <c r="I318" s="9"/>
      <c r="J318" s="16" t="s">
        <v>26</v>
      </c>
      <c r="K318" s="16" t="s">
        <v>26</v>
      </c>
    </row>
    <row r="319" ht="15.75" customHeight="1">
      <c r="A319" s="8">
        <v>318.0</v>
      </c>
      <c r="B319" s="23" t="s">
        <v>796</v>
      </c>
      <c r="C319" s="10" t="s">
        <v>797</v>
      </c>
      <c r="D319" s="11">
        <v>88.0</v>
      </c>
      <c r="E319" s="8">
        <v>6.0</v>
      </c>
      <c r="F319" s="11">
        <v>1113.0</v>
      </c>
      <c r="G319" s="10" t="s">
        <v>50</v>
      </c>
      <c r="H319" s="9" t="s">
        <v>798</v>
      </c>
      <c r="I319" s="9"/>
      <c r="J319" s="16" t="s">
        <v>26</v>
      </c>
      <c r="K319" s="16" t="s">
        <v>26</v>
      </c>
    </row>
    <row r="320" ht="15.75" customHeight="1">
      <c r="A320" s="8">
        <v>319.0</v>
      </c>
      <c r="B320" s="9" t="s">
        <v>799</v>
      </c>
      <c r="C320" s="10" t="s">
        <v>800</v>
      </c>
      <c r="D320" s="11">
        <v>27.0</v>
      </c>
      <c r="E320" s="8">
        <v>6.0</v>
      </c>
      <c r="F320" s="11">
        <v>1065.0</v>
      </c>
      <c r="G320" s="10" t="s">
        <v>50</v>
      </c>
      <c r="H320" s="9" t="s">
        <v>46</v>
      </c>
      <c r="I320" s="9"/>
      <c r="J320" s="16" t="s">
        <v>26</v>
      </c>
      <c r="K320" s="16" t="s">
        <v>26</v>
      </c>
    </row>
    <row r="321" ht="15.75" customHeight="1">
      <c r="A321" s="8">
        <v>320.0</v>
      </c>
      <c r="B321" s="9" t="s">
        <v>801</v>
      </c>
      <c r="C321" s="10" t="s">
        <v>802</v>
      </c>
      <c r="D321" s="11">
        <v>137.0</v>
      </c>
      <c r="E321" s="8">
        <v>6.0</v>
      </c>
      <c r="F321" s="11">
        <v>1051.0</v>
      </c>
      <c r="G321" s="10" t="s">
        <v>50</v>
      </c>
      <c r="H321" s="9" t="s">
        <v>190</v>
      </c>
      <c r="I321" s="9"/>
      <c r="J321" s="16" t="s">
        <v>26</v>
      </c>
      <c r="K321" s="16" t="s">
        <v>26</v>
      </c>
    </row>
    <row r="322" ht="15.75" customHeight="1">
      <c r="A322" s="8">
        <v>321.0</v>
      </c>
      <c r="B322" s="9" t="s">
        <v>803</v>
      </c>
      <c r="C322" s="10" t="s">
        <v>804</v>
      </c>
      <c r="D322" s="11">
        <v>244.0</v>
      </c>
      <c r="E322" s="8">
        <v>4.0</v>
      </c>
      <c r="F322" s="11">
        <v>1033.0</v>
      </c>
      <c r="G322" s="10" t="s">
        <v>50</v>
      </c>
      <c r="H322" s="9" t="s">
        <v>650</v>
      </c>
      <c r="I322" s="9"/>
      <c r="J322" s="16" t="s">
        <v>26</v>
      </c>
      <c r="K322" s="16" t="s">
        <v>26</v>
      </c>
    </row>
    <row r="323" ht="15.75" customHeight="1">
      <c r="A323" s="8">
        <v>322.0</v>
      </c>
      <c r="B323" s="9" t="s">
        <v>805</v>
      </c>
      <c r="C323" s="10" t="s">
        <v>806</v>
      </c>
      <c r="D323" s="11">
        <v>322.0</v>
      </c>
      <c r="E323" s="8">
        <v>5.0</v>
      </c>
      <c r="F323" s="11">
        <v>1015.0</v>
      </c>
      <c r="G323" s="10" t="s">
        <v>50</v>
      </c>
      <c r="H323" s="9" t="s">
        <v>231</v>
      </c>
      <c r="I323" s="9"/>
      <c r="J323" s="16" t="s">
        <v>26</v>
      </c>
      <c r="K323" s="16" t="s">
        <v>26</v>
      </c>
    </row>
    <row r="324" ht="15.75" customHeight="1">
      <c r="A324" s="8">
        <v>323.0</v>
      </c>
      <c r="B324" s="9" t="s">
        <v>807</v>
      </c>
      <c r="C324" s="10" t="s">
        <v>808</v>
      </c>
      <c r="D324" s="11">
        <v>61.0</v>
      </c>
      <c r="E324" s="8">
        <v>4.0</v>
      </c>
      <c r="F324" s="11">
        <v>950.0</v>
      </c>
      <c r="G324" s="10" t="s">
        <v>50</v>
      </c>
      <c r="H324" s="9" t="s">
        <v>32</v>
      </c>
      <c r="I324" s="9"/>
      <c r="J324" s="16" t="s">
        <v>26</v>
      </c>
      <c r="K324" s="16" t="s">
        <v>26</v>
      </c>
    </row>
    <row r="325" ht="15.75" customHeight="1">
      <c r="A325" s="8">
        <v>324.0</v>
      </c>
      <c r="B325" s="9" t="s">
        <v>809</v>
      </c>
      <c r="C325" s="10" t="s">
        <v>810</v>
      </c>
      <c r="D325" s="11">
        <v>60.0</v>
      </c>
      <c r="E325" s="8">
        <v>4.0</v>
      </c>
      <c r="F325" s="11">
        <v>932.0</v>
      </c>
      <c r="G325" s="10" t="s">
        <v>50</v>
      </c>
      <c r="H325" s="9" t="s">
        <v>116</v>
      </c>
      <c r="I325" s="9"/>
      <c r="J325" s="16" t="s">
        <v>26</v>
      </c>
      <c r="K325" s="16" t="s">
        <v>26</v>
      </c>
    </row>
    <row r="326" ht="15.75" customHeight="1">
      <c r="A326" s="8">
        <v>325.0</v>
      </c>
      <c r="B326" s="9" t="s">
        <v>811</v>
      </c>
      <c r="C326" s="10" t="s">
        <v>812</v>
      </c>
      <c r="D326" s="11">
        <v>66.0</v>
      </c>
      <c r="E326" s="8">
        <v>6.0</v>
      </c>
      <c r="F326" s="11">
        <v>916.0</v>
      </c>
      <c r="G326" s="10" t="s">
        <v>50</v>
      </c>
      <c r="H326" s="9" t="s">
        <v>46</v>
      </c>
      <c r="I326" s="9"/>
      <c r="J326" s="16" t="s">
        <v>26</v>
      </c>
      <c r="K326" s="16" t="s">
        <v>26</v>
      </c>
    </row>
    <row r="327" ht="15.75" customHeight="1">
      <c r="A327" s="8">
        <v>326.0</v>
      </c>
      <c r="B327" s="9" t="s">
        <v>813</v>
      </c>
      <c r="C327" s="10" t="s">
        <v>814</v>
      </c>
      <c r="D327" s="11">
        <v>671.0</v>
      </c>
      <c r="E327" s="8">
        <v>6.0</v>
      </c>
      <c r="F327" s="11">
        <v>869.0</v>
      </c>
      <c r="G327" s="10" t="s">
        <v>50</v>
      </c>
      <c r="H327" s="9" t="s">
        <v>190</v>
      </c>
      <c r="I327" s="9"/>
      <c r="J327" s="16" t="s">
        <v>26</v>
      </c>
      <c r="K327" s="16" t="s">
        <v>26</v>
      </c>
    </row>
    <row r="328" ht="15.75" customHeight="1">
      <c r="A328" s="8">
        <v>327.0</v>
      </c>
      <c r="B328" s="9" t="s">
        <v>815</v>
      </c>
      <c r="C328" s="10" t="s">
        <v>816</v>
      </c>
      <c r="D328" s="11">
        <v>263.0</v>
      </c>
      <c r="E328" s="8">
        <v>4.0</v>
      </c>
      <c r="F328" s="11">
        <v>861.0</v>
      </c>
      <c r="G328" s="10" t="s">
        <v>50</v>
      </c>
      <c r="H328" s="9" t="s">
        <v>320</v>
      </c>
      <c r="I328" s="9"/>
      <c r="J328" s="16" t="s">
        <v>26</v>
      </c>
      <c r="K328" s="16" t="s">
        <v>26</v>
      </c>
    </row>
    <row r="329" ht="15.75" customHeight="1">
      <c r="A329" s="8">
        <v>328.0</v>
      </c>
      <c r="B329" s="9" t="s">
        <v>817</v>
      </c>
      <c r="C329" s="10" t="s">
        <v>818</v>
      </c>
      <c r="D329" s="11">
        <v>35.0</v>
      </c>
      <c r="E329" s="8">
        <v>6.0</v>
      </c>
      <c r="F329" s="11">
        <v>847.0</v>
      </c>
      <c r="G329" s="10" t="s">
        <v>50</v>
      </c>
      <c r="H329" s="9" t="s">
        <v>46</v>
      </c>
      <c r="I329" s="9"/>
      <c r="J329" s="16" t="s">
        <v>26</v>
      </c>
      <c r="K329" s="16" t="s">
        <v>26</v>
      </c>
    </row>
    <row r="330" ht="15.75" customHeight="1">
      <c r="A330" s="8">
        <v>329.0</v>
      </c>
      <c r="B330" s="9" t="s">
        <v>819</v>
      </c>
      <c r="C330" s="10" t="s">
        <v>820</v>
      </c>
      <c r="D330" s="11">
        <v>710.0</v>
      </c>
      <c r="E330" s="8">
        <v>6.0</v>
      </c>
      <c r="F330" s="11">
        <v>845.0</v>
      </c>
      <c r="G330" s="10" t="s">
        <v>50</v>
      </c>
      <c r="H330" s="9" t="s">
        <v>231</v>
      </c>
      <c r="I330" s="9"/>
      <c r="J330" s="16" t="s">
        <v>26</v>
      </c>
      <c r="K330" s="16" t="s">
        <v>26</v>
      </c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30"/>
  <conditionalFormatting sqref="J2:K330">
    <cfRule type="cellIs" dxfId="0" priority="1" operator="equal">
      <formula>"Sudah"</formula>
    </cfRule>
  </conditionalFormatting>
  <dataValidations>
    <dataValidation type="list" allowBlank="1" sqref="J2:J330">
      <formula1>"Belum,Sudah"</formula1>
    </dataValidation>
    <dataValidation type="list" allowBlank="1" sqref="K2:K330">
      <formula1>"Belum,Sudah,Tidak ada respon"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26" width="8.71"/>
  </cols>
  <sheetData>
    <row r="1">
      <c r="A1" s="1" t="s">
        <v>0</v>
      </c>
    </row>
    <row r="3">
      <c r="A3" s="2" t="s">
        <v>2</v>
      </c>
      <c r="B3" s="12">
        <f>COUNTA('Daftar Akun Spender by web'!B2:B330)</f>
        <v>329</v>
      </c>
    </row>
    <row r="4">
      <c r="A4" s="2" t="s">
        <v>20</v>
      </c>
      <c r="B4" s="12">
        <f>COUNTIF('Daftar Akun Spender by web'!J2:J330,"Sudah")</f>
        <v>10</v>
      </c>
    </row>
    <row r="5">
      <c r="A5" s="2" t="s">
        <v>25</v>
      </c>
      <c r="B5" s="12">
        <f>COUNTIF('Daftar Akun Spender by web'!J2:J330,"Belum")</f>
        <v>319</v>
      </c>
    </row>
    <row r="6">
      <c r="A6" s="2" t="s">
        <v>29</v>
      </c>
      <c r="B6" s="12">
        <f>COUNTIF('Daftar Akun Spender by web'!K2:K330,"Sudah")</f>
        <v>0</v>
      </c>
    </row>
    <row r="7">
      <c r="A7" s="2" t="s">
        <v>33</v>
      </c>
      <c r="B7" s="12">
        <f>COUNTIF('Daftar Akun Spender by web'!K2:K330,"Tidak ada respon")</f>
        <v>0</v>
      </c>
    </row>
    <row r="8">
      <c r="A8" s="2" t="s">
        <v>19</v>
      </c>
      <c r="B8" s="12">
        <f>COUNTIF('Daftar Akun Spender by web'!G2:G330,"Whale")</f>
        <v>107</v>
      </c>
    </row>
    <row r="9">
      <c r="A9" s="2" t="s">
        <v>43</v>
      </c>
      <c r="B9" s="12">
        <f>COUNTIF('Daftar Akun Spender by web'!G2:G330,"High spender")</f>
        <v>175</v>
      </c>
    </row>
    <row r="10">
      <c r="A10" s="2" t="s">
        <v>50</v>
      </c>
      <c r="B10" s="12">
        <f>COUNTIF('Daftar Akun Spender by web'!G2:G330,"Supporter")</f>
        <v>46</v>
      </c>
    </row>
    <row r="13">
      <c r="A13" s="21" t="s">
        <v>13</v>
      </c>
    </row>
    <row r="14">
      <c r="A14" s="22" t="s">
        <v>58</v>
      </c>
    </row>
    <row r="15">
      <c r="A15" s="22" t="s">
        <v>59</v>
      </c>
    </row>
    <row r="16">
      <c r="A16" s="22" t="s">
        <v>60</v>
      </c>
    </row>
    <row r="17">
      <c r="A17" s="22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</cols>
  <sheetData>
    <row r="1">
      <c r="A1" s="3" t="s">
        <v>1</v>
      </c>
      <c r="B1" s="3" t="s">
        <v>3</v>
      </c>
      <c r="C1" s="5" t="s">
        <v>6</v>
      </c>
      <c r="D1" s="5" t="s">
        <v>10</v>
      </c>
      <c r="E1" s="6"/>
      <c r="F1" s="7" t="s">
        <v>15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3">
        <v>1.0</v>
      </c>
      <c r="B2" s="14" t="s">
        <v>23</v>
      </c>
      <c r="C2" s="17" t="b">
        <f t="shared" ref="C2:C29" si="1">TRUE()</f>
        <v>1</v>
      </c>
      <c r="D2" s="18" t="str">
        <f t="shared" ref="D2:D55" si="2">IF(C2,"Sudah","Belum")</f>
        <v>Sudah</v>
      </c>
      <c r="E2" s="6"/>
      <c r="F2" s="19" t="s">
        <v>24</v>
      </c>
      <c r="G2" s="20">
        <f>COUNTIF(C2:C55,TRUE())</f>
        <v>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3">
        <v>2.0</v>
      </c>
      <c r="B3" s="14" t="s">
        <v>49</v>
      </c>
      <c r="C3" s="17" t="b">
        <f t="shared" si="1"/>
        <v>1</v>
      </c>
      <c r="D3" s="18" t="str">
        <f t="shared" si="2"/>
        <v>Sudah</v>
      </c>
      <c r="E3" s="6"/>
      <c r="F3" s="19" t="s">
        <v>26</v>
      </c>
      <c r="G3" s="20">
        <f>COUNTIF(C2:C55,FALSE())</f>
        <v>26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>
        <v>3.0</v>
      </c>
      <c r="B4" s="14" t="s">
        <v>63</v>
      </c>
      <c r="C4" s="17" t="b">
        <f t="shared" si="1"/>
        <v>1</v>
      </c>
      <c r="D4" s="18" t="str">
        <f t="shared" si="2"/>
        <v>Sudah</v>
      </c>
      <c r="E4" s="6"/>
      <c r="F4" s="19" t="s">
        <v>65</v>
      </c>
      <c r="G4" s="20">
        <f>G2+G3</f>
        <v>54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>
        <v>4.0</v>
      </c>
      <c r="B5" s="14" t="s">
        <v>71</v>
      </c>
      <c r="C5" s="17" t="b">
        <f t="shared" si="1"/>
        <v>1</v>
      </c>
      <c r="D5" s="18" t="str">
        <f t="shared" si="2"/>
        <v>Sudah</v>
      </c>
      <c r="E5" s="6"/>
      <c r="F5" s="19" t="s">
        <v>74</v>
      </c>
      <c r="G5" s="24">
        <f>IF(G4=0,0,G2/G4)</f>
        <v>0.5185185185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>
        <v>5.0</v>
      </c>
      <c r="B6" s="14" t="s">
        <v>88</v>
      </c>
      <c r="C6" s="17" t="b">
        <f t="shared" si="1"/>
        <v>1</v>
      </c>
      <c r="D6" s="18" t="str">
        <f t="shared" si="2"/>
        <v>Sudah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>
        <v>6.0</v>
      </c>
      <c r="B7" s="14" t="s">
        <v>91</v>
      </c>
      <c r="C7" s="17" t="b">
        <f t="shared" si="1"/>
        <v>1</v>
      </c>
      <c r="D7" s="18" t="str">
        <f t="shared" si="2"/>
        <v>Sudah</v>
      </c>
      <c r="E7" s="6"/>
      <c r="F7" s="25" t="s">
        <v>94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>
        <v>7.0</v>
      </c>
      <c r="B8" s="14" t="s">
        <v>97</v>
      </c>
      <c r="C8" s="17" t="b">
        <f t="shared" si="1"/>
        <v>1</v>
      </c>
      <c r="D8" s="18" t="str">
        <f t="shared" si="2"/>
        <v>Sudah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>
        <v>8.0</v>
      </c>
      <c r="B9" s="14" t="s">
        <v>101</v>
      </c>
      <c r="C9" s="17" t="b">
        <f t="shared" si="1"/>
        <v>1</v>
      </c>
      <c r="D9" s="18" t="str">
        <f t="shared" si="2"/>
        <v>Sudah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>
        <v>9.0</v>
      </c>
      <c r="B10" s="14" t="s">
        <v>104</v>
      </c>
      <c r="C10" s="17" t="b">
        <f t="shared" si="1"/>
        <v>1</v>
      </c>
      <c r="D10" s="18" t="str">
        <f t="shared" si="2"/>
        <v>Sudah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>
        <v>10.0</v>
      </c>
      <c r="B11" s="14" t="s">
        <v>107</v>
      </c>
      <c r="C11" s="17" t="b">
        <f t="shared" si="1"/>
        <v>1</v>
      </c>
      <c r="D11" s="18" t="str">
        <f t="shared" si="2"/>
        <v>Sudah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>
        <v>11.0</v>
      </c>
      <c r="B12" s="14" t="s">
        <v>110</v>
      </c>
      <c r="C12" s="17" t="b">
        <f t="shared" si="1"/>
        <v>1</v>
      </c>
      <c r="D12" s="18" t="str">
        <f t="shared" si="2"/>
        <v>Sudah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>
        <v>12.0</v>
      </c>
      <c r="B13" s="14" t="s">
        <v>113</v>
      </c>
      <c r="C13" s="17" t="b">
        <f t="shared" si="1"/>
        <v>1</v>
      </c>
      <c r="D13" s="18" t="str">
        <f t="shared" si="2"/>
        <v>Sudah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>
        <v>13.0</v>
      </c>
      <c r="B14" s="14" t="s">
        <v>117</v>
      </c>
      <c r="C14" s="17" t="b">
        <f t="shared" si="1"/>
        <v>1</v>
      </c>
      <c r="D14" s="18" t="str">
        <f t="shared" si="2"/>
        <v>Sudah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>
        <v>14.0</v>
      </c>
      <c r="B15" s="14" t="s">
        <v>120</v>
      </c>
      <c r="C15" s="17" t="b">
        <f t="shared" si="1"/>
        <v>1</v>
      </c>
      <c r="D15" s="18" t="str">
        <f t="shared" si="2"/>
        <v>Sudah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">
        <v>15.0</v>
      </c>
      <c r="B16" s="14" t="s">
        <v>123</v>
      </c>
      <c r="C16" s="17" t="b">
        <f t="shared" si="1"/>
        <v>1</v>
      </c>
      <c r="D16" s="18" t="str">
        <f t="shared" si="2"/>
        <v>Sudah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3">
        <v>16.0</v>
      </c>
      <c r="B17" s="14" t="s">
        <v>124</v>
      </c>
      <c r="C17" s="17" t="b">
        <f t="shared" si="1"/>
        <v>1</v>
      </c>
      <c r="D17" s="18" t="str">
        <f t="shared" si="2"/>
        <v>Sudah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3">
        <v>17.0</v>
      </c>
      <c r="B18" s="14" t="s">
        <v>128</v>
      </c>
      <c r="C18" s="17" t="b">
        <f t="shared" si="1"/>
        <v>1</v>
      </c>
      <c r="D18" s="18" t="str">
        <f t="shared" si="2"/>
        <v>Sudah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">
        <v>18.0</v>
      </c>
      <c r="B19" s="14" t="s">
        <v>132</v>
      </c>
      <c r="C19" s="17" t="b">
        <f t="shared" si="1"/>
        <v>1</v>
      </c>
      <c r="D19" s="18" t="str">
        <f t="shared" si="2"/>
        <v>Sudah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3">
        <v>19.0</v>
      </c>
      <c r="B20" s="14" t="s">
        <v>135</v>
      </c>
      <c r="C20" s="17" t="b">
        <f t="shared" si="1"/>
        <v>1</v>
      </c>
      <c r="D20" s="18" t="str">
        <f t="shared" si="2"/>
        <v>Sudah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">
        <v>20.0</v>
      </c>
      <c r="B21" s="14" t="s">
        <v>137</v>
      </c>
      <c r="C21" s="17" t="b">
        <f t="shared" si="1"/>
        <v>1</v>
      </c>
      <c r="D21" s="18" t="str">
        <f t="shared" si="2"/>
        <v>Sudah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">
        <v>21.0</v>
      </c>
      <c r="B22" s="14" t="s">
        <v>139</v>
      </c>
      <c r="C22" s="17" t="b">
        <f t="shared" si="1"/>
        <v>1</v>
      </c>
      <c r="D22" s="18" t="str">
        <f t="shared" si="2"/>
        <v>Sudah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>
        <v>22.0</v>
      </c>
      <c r="B23" s="14" t="s">
        <v>142</v>
      </c>
      <c r="C23" s="17" t="b">
        <f t="shared" si="1"/>
        <v>1</v>
      </c>
      <c r="D23" s="18" t="str">
        <f t="shared" si="2"/>
        <v>Sudah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3">
        <v>23.0</v>
      </c>
      <c r="B24" s="14" t="s">
        <v>146</v>
      </c>
      <c r="C24" s="17" t="b">
        <f t="shared" si="1"/>
        <v>1</v>
      </c>
      <c r="D24" s="18" t="str">
        <f t="shared" si="2"/>
        <v>Sudah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3">
        <v>24.0</v>
      </c>
      <c r="B25" s="14" t="s">
        <v>150</v>
      </c>
      <c r="C25" s="17" t="b">
        <f t="shared" si="1"/>
        <v>1</v>
      </c>
      <c r="D25" s="18" t="str">
        <f t="shared" si="2"/>
        <v>Sudah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3">
        <v>25.0</v>
      </c>
      <c r="B26" s="14" t="s">
        <v>153</v>
      </c>
      <c r="C26" s="17" t="b">
        <f t="shared" si="1"/>
        <v>1</v>
      </c>
      <c r="D26" s="18" t="str">
        <f t="shared" si="2"/>
        <v>Sudah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3">
        <v>26.0</v>
      </c>
      <c r="B27" s="14" t="s">
        <v>156</v>
      </c>
      <c r="C27" s="17" t="b">
        <f t="shared" si="1"/>
        <v>1</v>
      </c>
      <c r="D27" s="18" t="str">
        <f t="shared" si="2"/>
        <v>Sudah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3">
        <v>27.0</v>
      </c>
      <c r="B28" s="14" t="s">
        <v>159</v>
      </c>
      <c r="C28" s="17" t="b">
        <f t="shared" si="1"/>
        <v>1</v>
      </c>
      <c r="D28" s="18" t="str">
        <f t="shared" si="2"/>
        <v>Sudah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3">
        <v>28.0</v>
      </c>
      <c r="B29" s="14" t="s">
        <v>162</v>
      </c>
      <c r="C29" s="17" t="b">
        <f t="shared" si="1"/>
        <v>1</v>
      </c>
      <c r="D29" s="18" t="str">
        <f t="shared" si="2"/>
        <v>Sudah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3">
        <v>29.0</v>
      </c>
      <c r="B30" s="14" t="s">
        <v>165</v>
      </c>
      <c r="C30" s="17" t="b">
        <f t="shared" ref="C30:C55" si="3">FALSE()</f>
        <v>0</v>
      </c>
      <c r="D30" s="18" t="str">
        <f t="shared" si="2"/>
        <v>Belum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3">
        <v>30.0</v>
      </c>
      <c r="B31" s="14" t="s">
        <v>173</v>
      </c>
      <c r="C31" s="17" t="b">
        <f t="shared" si="3"/>
        <v>0</v>
      </c>
      <c r="D31" s="18" t="str">
        <f t="shared" si="2"/>
        <v>Belum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3">
        <v>31.0</v>
      </c>
      <c r="B32" s="14" t="s">
        <v>177</v>
      </c>
      <c r="C32" s="17" t="b">
        <f t="shared" si="3"/>
        <v>0</v>
      </c>
      <c r="D32" s="18" t="str">
        <f t="shared" si="2"/>
        <v>Belum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">
        <v>32.0</v>
      </c>
      <c r="B33" s="14" t="s">
        <v>180</v>
      </c>
      <c r="C33" s="17" t="b">
        <f t="shared" si="3"/>
        <v>0</v>
      </c>
      <c r="D33" s="18" t="str">
        <f t="shared" si="2"/>
        <v>Belum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3">
        <v>33.0</v>
      </c>
      <c r="B34" s="14" t="s">
        <v>183</v>
      </c>
      <c r="C34" s="17" t="b">
        <f t="shared" si="3"/>
        <v>0</v>
      </c>
      <c r="D34" s="18" t="str">
        <f t="shared" si="2"/>
        <v>Belum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">
        <v>34.0</v>
      </c>
      <c r="B35" s="14" t="s">
        <v>187</v>
      </c>
      <c r="C35" s="17" t="b">
        <f t="shared" si="3"/>
        <v>0</v>
      </c>
      <c r="D35" s="18" t="str">
        <f t="shared" si="2"/>
        <v>Belum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3">
        <v>35.0</v>
      </c>
      <c r="B36" s="14" t="s">
        <v>191</v>
      </c>
      <c r="C36" s="17" t="b">
        <f t="shared" si="3"/>
        <v>0</v>
      </c>
      <c r="D36" s="18" t="str">
        <f t="shared" si="2"/>
        <v>Belum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3">
        <v>36.0</v>
      </c>
      <c r="B37" s="14" t="s">
        <v>194</v>
      </c>
      <c r="C37" s="17" t="b">
        <f t="shared" si="3"/>
        <v>0</v>
      </c>
      <c r="D37" s="18" t="str">
        <f t="shared" si="2"/>
        <v>Belum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3">
        <v>37.0</v>
      </c>
      <c r="B38" s="14" t="s">
        <v>197</v>
      </c>
      <c r="C38" s="17" t="b">
        <f t="shared" si="3"/>
        <v>0</v>
      </c>
      <c r="D38" s="18" t="str">
        <f t="shared" si="2"/>
        <v>Belum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3">
        <v>38.0</v>
      </c>
      <c r="B39" s="14" t="s">
        <v>200</v>
      </c>
      <c r="C39" s="17" t="b">
        <f t="shared" si="3"/>
        <v>0</v>
      </c>
      <c r="D39" s="18" t="str">
        <f t="shared" si="2"/>
        <v>Belum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3">
        <v>39.0</v>
      </c>
      <c r="B40" s="26" t="s">
        <v>203</v>
      </c>
      <c r="C40" s="17" t="b">
        <f t="shared" si="3"/>
        <v>0</v>
      </c>
      <c r="D40" s="18" t="str">
        <f t="shared" si="2"/>
        <v>Belum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3">
        <v>40.0</v>
      </c>
      <c r="B41" s="14" t="s">
        <v>208</v>
      </c>
      <c r="C41" s="17" t="b">
        <f t="shared" si="3"/>
        <v>0</v>
      </c>
      <c r="D41" s="18" t="str">
        <f t="shared" si="2"/>
        <v>Belum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3">
        <v>41.0</v>
      </c>
      <c r="B42" s="14" t="s">
        <v>211</v>
      </c>
      <c r="C42" s="17" t="b">
        <f t="shared" si="3"/>
        <v>0</v>
      </c>
      <c r="D42" s="18" t="str">
        <f t="shared" si="2"/>
        <v>Belum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3">
        <v>42.0</v>
      </c>
      <c r="B43" s="14" t="s">
        <v>215</v>
      </c>
      <c r="C43" s="17" t="b">
        <f t="shared" si="3"/>
        <v>0</v>
      </c>
      <c r="D43" s="18" t="str">
        <f t="shared" si="2"/>
        <v>Belum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3">
        <v>43.0</v>
      </c>
      <c r="B44" s="14" t="s">
        <v>219</v>
      </c>
      <c r="C44" s="17" t="b">
        <f t="shared" si="3"/>
        <v>0</v>
      </c>
      <c r="D44" s="18" t="str">
        <f t="shared" si="2"/>
        <v>Belum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3">
        <v>44.0</v>
      </c>
      <c r="B45" s="14" t="s">
        <v>222</v>
      </c>
      <c r="C45" s="17" t="b">
        <f t="shared" si="3"/>
        <v>0</v>
      </c>
      <c r="D45" s="18" t="str">
        <f t="shared" si="2"/>
        <v>Belum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3">
        <v>45.0</v>
      </c>
      <c r="B46" s="14" t="s">
        <v>228</v>
      </c>
      <c r="C46" s="17" t="b">
        <f t="shared" si="3"/>
        <v>0</v>
      </c>
      <c r="D46" s="18" t="str">
        <f t="shared" si="2"/>
        <v>Belum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3">
        <v>46.0</v>
      </c>
      <c r="B47" s="14" t="s">
        <v>232</v>
      </c>
      <c r="C47" s="17" t="b">
        <f t="shared" si="3"/>
        <v>0</v>
      </c>
      <c r="D47" s="18" t="str">
        <f t="shared" si="2"/>
        <v>Belum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3">
        <v>47.0</v>
      </c>
      <c r="B48" s="14" t="s">
        <v>241</v>
      </c>
      <c r="C48" s="17" t="b">
        <f t="shared" si="3"/>
        <v>0</v>
      </c>
      <c r="D48" s="18" t="str">
        <f t="shared" si="2"/>
        <v>Belum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3">
        <v>48.0</v>
      </c>
      <c r="B49" s="14" t="s">
        <v>245</v>
      </c>
      <c r="C49" s="17" t="b">
        <f t="shared" si="3"/>
        <v>0</v>
      </c>
      <c r="D49" s="18" t="str">
        <f t="shared" si="2"/>
        <v>Belum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3">
        <v>49.0</v>
      </c>
      <c r="B50" s="14" t="s">
        <v>248</v>
      </c>
      <c r="C50" s="17" t="b">
        <f t="shared" si="3"/>
        <v>0</v>
      </c>
      <c r="D50" s="18" t="str">
        <f t="shared" si="2"/>
        <v>Belum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3">
        <v>50.0</v>
      </c>
      <c r="B51" s="14" t="s">
        <v>252</v>
      </c>
      <c r="C51" s="17" t="b">
        <f t="shared" si="3"/>
        <v>0</v>
      </c>
      <c r="D51" s="18" t="str">
        <f t="shared" si="2"/>
        <v>Belum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3">
        <v>51.0</v>
      </c>
      <c r="B52" s="14" t="s">
        <v>255</v>
      </c>
      <c r="C52" s="17" t="b">
        <f t="shared" si="3"/>
        <v>0</v>
      </c>
      <c r="D52" s="18" t="str">
        <f t="shared" si="2"/>
        <v>Belum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3">
        <v>52.0</v>
      </c>
      <c r="B53" s="14" t="s">
        <v>259</v>
      </c>
      <c r="C53" s="17" t="b">
        <f t="shared" si="3"/>
        <v>0</v>
      </c>
      <c r="D53" s="18" t="str">
        <f t="shared" si="2"/>
        <v>Belum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3">
        <v>53.0</v>
      </c>
      <c r="B54" s="14" t="s">
        <v>262</v>
      </c>
      <c r="C54" s="17" t="b">
        <f t="shared" si="3"/>
        <v>0</v>
      </c>
      <c r="D54" s="18" t="str">
        <f t="shared" si="2"/>
        <v>Belum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3">
        <v>54.0</v>
      </c>
      <c r="B55" s="14" t="s">
        <v>265</v>
      </c>
      <c r="C55" s="17" t="b">
        <f t="shared" si="3"/>
        <v>0</v>
      </c>
      <c r="D55" s="18" t="str">
        <f t="shared" si="2"/>
        <v>Belum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